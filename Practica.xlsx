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ydonia\Desktop\Curso excel tablas dinamicas\"/>
    </mc:Choice>
  </mc:AlternateContent>
  <xr:revisionPtr revIDLastSave="0" documentId="13_ncr:1_{DA9DDC53-52D6-403C-977F-1F22DD207764}" xr6:coauthVersionLast="47" xr6:coauthVersionMax="47" xr10:uidLastSave="{00000000-0000-0000-0000-000000000000}"/>
  <bookViews>
    <workbookView xWindow="28680" yWindow="-120" windowWidth="29040" windowHeight="15720" activeTab="2" xr2:uid="{6B85881E-09A7-4D8F-8F63-366B1AEFE579}"/>
  </bookViews>
  <sheets>
    <sheet name="CURSOS" sheetId="1" r:id="rId1"/>
    <sheet name="Analisis" sheetId="2" r:id="rId2"/>
    <sheet name="Dashboard" sheetId="3" r:id="rId3"/>
  </sheets>
  <definedNames>
    <definedName name="_xlnm._FilterDatabase" localSheetId="0" hidden="1">CURSOS!$B$1:$P$363</definedName>
    <definedName name="SegmentaciónDeDatos_Año">#N/A</definedName>
    <definedName name="SegmentaciónDeDatos_PAIS">#N/A</definedName>
  </definedNames>
  <calcPr calcId="191028"/>
  <pivotCaches>
    <pivotCache cacheId="9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2" i="1"/>
  <c r="M364" i="1"/>
  <c r="Q364" i="1"/>
</calcChain>
</file>

<file path=xl/sharedStrings.xml><?xml version="1.0" encoding="utf-8"?>
<sst xmlns="http://schemas.openxmlformats.org/spreadsheetml/2006/main" count="3690" uniqueCount="436">
  <si>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</si>
  <si>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</si>
  <si>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</si>
  <si>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</si>
  <si>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</si>
  <si>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</si>
  <si>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</si>
  <si>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</si>
  <si>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</si>
  <si>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</si>
  <si>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</si>
  <si>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</si>
  <si>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</si>
  <si>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</si>
  <si>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</si>
  <si>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</si>
  <si>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</si>
  <si>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</si>
  <si>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</si>
  <si>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</si>
  <si>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</si>
  <si>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</si>
  <si>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</si>
  <si>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</si>
  <si>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</si>
  <si>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</si>
  <si>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</si>
  <si>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</si>
  <si>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</si>
  <si>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</si>
  <si>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</si>
  <si>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</si>
  <si>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</si>
  <si>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</si>
  <si>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</si>
  <si>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</si>
  <si>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</si>
  <si>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</si>
  <si>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</si>
  <si>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</si>
  <si>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</si>
  <si>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</si>
  <si>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</si>
  <si>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</si>
  <si>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</si>
  <si>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</si>
  <si>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</si>
  <si>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</si>
  <si>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</si>
  <si>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</si>
  <si>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</si>
  <si>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</si>
  <si>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</si>
  <si>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</si>
  <si>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</si>
  <si>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</si>
  <si>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</si>
  <si>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</si>
  <si>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</si>
  <si>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</si>
  <si>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</si>
  <si>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</si>
  <si>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</si>
  <si>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</si>
  <si>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</si>
  <si>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</si>
  <si>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</si>
  <si>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</si>
  <si>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</si>
  <si>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</si>
  <si>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</si>
  <si>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</si>
  <si>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</si>
  <si>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</si>
  <si>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</si>
  <si>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</si>
  <si>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</si>
  <si>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</si>
  <si>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</si>
  <si>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</si>
  <si>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</si>
  <si>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</si>
  <si>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</si>
  <si>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</si>
  <si>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</si>
  <si>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</si>
  <si>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</si>
  <si>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</si>
  <si>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</si>
  <si>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</si>
  <si>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</si>
  <si>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</si>
  <si>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</si>
  <si>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</si>
  <si>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</si>
  <si>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</si>
  <si>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</si>
  <si>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</si>
  <si>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</si>
  <si>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</si>
  <si>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</si>
  <si>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</si>
  <si>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</si>
  <si>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</si>
  <si>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</si>
  <si>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</si>
  <si>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</si>
  <si>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</si>
  <si>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</si>
  <si>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</si>
  <si>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</si>
  <si>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</si>
  <si>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</si>
  <si>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</si>
  <si>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</si>
  <si>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</si>
  <si>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</si>
  <si>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</si>
  <si>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</si>
  <si>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</si>
  <si>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</si>
  <si>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</si>
  <si>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</si>
  <si>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</si>
  <si>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</si>
  <si>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</si>
  <si>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</si>
  <si>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</si>
  <si>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</si>
  <si>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</si>
  <si>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</si>
  <si>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</si>
  <si>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</si>
  <si>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</si>
  <si>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</si>
  <si>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</si>
  <si>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</si>
  <si>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</si>
  <si>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</si>
  <si>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</si>
  <si>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</si>
  <si>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</si>
  <si>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</si>
  <si>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</si>
  <si>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</si>
  <si>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</si>
  <si>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</si>
  <si>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</si>
  <si>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</si>
  <si>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</si>
  <si>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</si>
  <si>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</si>
  <si>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</si>
  <si>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</si>
  <si>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</si>
  <si>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</si>
  <si>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</si>
  <si>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</si>
  <si>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</si>
  <si>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</si>
  <si>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</si>
  <si>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</si>
  <si>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</si>
  <si>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</si>
  <si>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</si>
  <si>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</si>
  <si>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</si>
  <si>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</si>
  <si>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</si>
  <si>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</si>
  <si>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</si>
  <si>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</si>
  <si>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</si>
  <si>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</si>
  <si>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</si>
  <si>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</si>
  <si>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</si>
  <si>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</si>
  <si>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</si>
  <si>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</si>
  <si>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</si>
  <si>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</si>
  <si>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</si>
  <si>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</si>
  <si>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</si>
  <si>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</si>
  <si>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</si>
  <si>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</si>
  <si>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</si>
  <si>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</si>
  <si>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</si>
  <si>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</si>
  <si>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</si>
  <si>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</si>
  <si>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</si>
  <si>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</si>
  <si>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</si>
  <si>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</si>
  <si>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</si>
  <si>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</si>
  <si>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</si>
  <si>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</si>
  <si>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</si>
  <si>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</si>
  <si>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</si>
  <si>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</si>
  <si>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</si>
  <si>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</si>
  <si>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</si>
  <si>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</si>
  <si>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</si>
  <si>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</si>
  <si>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</si>
  <si>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</si>
  <si>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</si>
  <si>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</si>
  <si>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</si>
  <si>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</si>
  <si>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</si>
  <si>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</si>
  <si>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</si>
  <si>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</si>
  <si>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</si>
  <si>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</si>
  <si>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</si>
  <si>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</si>
  <si>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</si>
  <si>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</si>
  <si>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</si>
  <si>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</si>
  <si>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</si>
  <si>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</si>
  <si>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</si>
  <si>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</si>
  <si>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</si>
  <si>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</si>
  <si>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</si>
  <si>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</si>
  <si>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</si>
  <si>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</si>
  <si>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</si>
  <si>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</si>
  <si>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</si>
  <si>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</si>
  <si>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</si>
  <si>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</si>
  <si>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</si>
  <si>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</si>
  <si>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</si>
  <si>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</si>
  <si>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</si>
  <si>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</si>
  <si>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</si>
  <si>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</si>
  <si>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</si>
  <si>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</si>
  <si>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</si>
  <si>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</si>
  <si>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</si>
  <si>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</si>
  <si>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</si>
  <si>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</si>
  <si>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</si>
  <si>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</si>
  <si>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</si>
  <si>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</si>
  <si>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</si>
  <si>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</si>
  <si>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</si>
  <si>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</si>
  <si>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</si>
  <si>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</si>
  <si>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</si>
  <si>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</si>
  <si>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</si>
  <si>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</si>
  <si>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</si>
  <si>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</si>
  <si>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</si>
  <si>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</si>
  <si>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</si>
  <si>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</si>
  <si>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</si>
  <si>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</si>
  <si>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</si>
  <si>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</si>
  <si>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</si>
  <si>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</si>
  <si>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</si>
  <si>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</si>
  <si>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</si>
  <si>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</si>
  <si>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</si>
  <si>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</si>
  <si>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</si>
  <si>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</si>
  <si>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</si>
  <si>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</si>
  <si>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</si>
  <si>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</si>
  <si>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</si>
  <si>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</si>
  <si>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</si>
  <si>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</si>
  <si>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</si>
  <si>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</si>
  <si>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</si>
  <si>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</si>
  <si>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</si>
  <si>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</si>
  <si>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</si>
  <si>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</si>
  <si>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</si>
  <si>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</si>
  <si>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</si>
  <si>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</si>
  <si>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</si>
  <si>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</si>
  <si>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</si>
  <si>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</si>
  <si>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</si>
  <si>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</si>
  <si>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</si>
  <si>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</si>
  <si>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</si>
  <si>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</si>
  <si>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</si>
  <si>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</si>
  <si>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</si>
  <si>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</si>
  <si>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</si>
  <si>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</si>
  <si>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</si>
  <si>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</si>
  <si>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</si>
  <si>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</si>
  <si>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</si>
  <si>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</si>
  <si>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</si>
  <si>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</si>
  <si>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</si>
  <si>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</si>
  <si>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</si>
  <si>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</si>
  <si>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</si>
  <si>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</si>
  <si>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</si>
  <si>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</si>
  <si>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</si>
  <si>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</si>
  <si>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</si>
  <si>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</si>
  <si>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</si>
  <si>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</si>
  <si>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</si>
  <si>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</si>
  <si>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</si>
  <si>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</si>
  <si>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</si>
  <si>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</si>
  <si>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</si>
  <si>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</si>
  <si>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</si>
  <si>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</si>
  <si>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</si>
  <si>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</si>
  <si>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</si>
  <si>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</si>
  <si>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</si>
  <si>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</si>
  <si>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</si>
  <si>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</si>
  <si>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</si>
  <si>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</si>
  <si>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</si>
  <si>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</si>
  <si>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</si>
  <si>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</si>
  <si>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</si>
  <si>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</si>
  <si>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</si>
  <si>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</si>
  <si>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</si>
  <si>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</si>
  <si>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</si>
  <si>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</si>
  <si>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</si>
  <si>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</si>
  <si>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</si>
  <si>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</si>
  <si>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</si>
  <si>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</si>
  <si>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</si>
  <si>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</si>
  <si>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</si>
  <si>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</si>
  <si>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</si>
  <si>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</si>
  <si>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</si>
  <si>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</si>
  <si>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</si>
  <si>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</si>
  <si>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</si>
  <si>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</si>
  <si>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</si>
  <si>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</si>
  <si>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</si>
  <si>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</si>
  <si>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</si>
  <si>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</si>
  <si>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</si>
  <si>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</si>
  <si>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</si>
  <si>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</si>
  <si>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</si>
  <si>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</si>
  <si>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</t>
  </si>
  <si>
    <t>Año</t>
  </si>
  <si>
    <t>Etiquetas de fila</t>
  </si>
  <si>
    <t>Total general</t>
  </si>
  <si>
    <t>Suma de IMPORTE CLIENTE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</si>
  <si>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</si>
  <si>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</si>
  <si>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</si>
  <si>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</si>
  <si>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</si>
  <si>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</si>
  <si>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</si>
  <si>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</si>
  <si>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</si>
  <si>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</si>
  <si>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</si>
  <si>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</si>
  <si>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</si>
  <si>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Cuenta de JORNADA CURSO</t>
  </si>
  <si>
    <t>Cuenta de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</si>
</sst>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2">
    <cellStyle name="Euro" xfId="1" xr:uid="{08E7607B-4442-46AE-9C59-347AB043C811}"/>
    <cellStyle name="Normal" xfId="0" builtinId="0"/>
  </cellStyles>
  <dxfs count="198"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4" formatCode="0.00%"/>
    </dxf>
    <dxf>
      <numFmt numFmtId="34" formatCode="_-&quot;$&quot;* #,##0.00_-;\-&quot;$&quot;* #,##0.00_-;_-&quot;$&quot;* &quot;-&quot;??_-;_-@_-"/>
    </dxf>
    <dxf>
      <font>
        <color theme="0"/>
        <name val="Abadi"/>
        <family val="2"/>
        <scheme val="none"/>
      </font>
      <fill>
        <patternFill>
          <bgColor theme="1" tint="0.14996795556505021"/>
        </patternFill>
      </fill>
      <border diagonalUp="0" diagonalDown="0"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Estilo de segmentación de datos 1" pivot="0" table="0" count="10" xr9:uid="{E741F0A4-7A8B-4E38-BA3E-C297B9A71021}">
      <tableStyleElement type="wholeTable" dxfId="160"/>
    </tableStyle>
  </tableStyles>
  <colors>
    <mruColors>
      <color rgb="FF594E90"/>
      <color rgb="FFBC4C96"/>
      <color rgb="FFFF5F66"/>
      <color rgb="FFFFA600"/>
      <color rgb="FF003F5C"/>
      <color rgb="FF72FFFF"/>
      <color rgb="FF7AA609"/>
      <color rgb="FF008C54"/>
      <color rgb="FFCC9900"/>
      <color rgb="FF660033"/>
    </mruColors>
  </colors>
  <extLst>
    <ext xmlns:x14="http://schemas.microsoft.com/office/spreadsheetml/2009/9/main" uri="{46F421CA-312F-682f-3DD2-61675219B42D}">
      <x14:dxfs count="8">
        <dxf/>
        <dxf/>
        <dxf/>
        <dxf/>
        <dxf>
          <font>
            <sz val="14"/>
            <name val="Aharoni"/>
          </font>
        </dxf>
        <dxf>
          <font>
            <b/>
            <i val="0"/>
            <sz val="14"/>
            <name val="Aharoni"/>
            <scheme val="none"/>
          </font>
          <fill>
            <patternFill>
              <fgColor rgb="FF594E90"/>
              <bgColor rgb="FF594E9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/>
        <dxf>
          <font>
            <name val="Abadi"/>
            <family val="2"/>
            <scheme val="none"/>
          </font>
          <fill>
            <patternFill>
              <bgColor theme="1" tint="0.1499679555650502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[Practica.xlsx]Analisis!TablaDinámica1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94E90"/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85733591084972"/>
          <c:y val="4.3621570851173318E-2"/>
          <c:w val="0.8081741016383529"/>
          <c:h val="0.912756858297653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94E90"/>
            </a:solidFill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Aharoni" panose="02010803020104030203" pitchFamily="2" charset="-79"/>
                    <a:ea typeface="+mn-ea"/>
                    <a:cs typeface="Aharoni" panose="02010803020104030203" pitchFamily="2" charset="-79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Analisis!$A$4:$A$11</c:f>
              <c:strCache>
                <c:ptCount val="7"/>
                <c:pt idx="0">
                  <c:v>INTERNET</c:v>
                </c:pt>
                <c:pt idx="1">
                  <c:v>PROGRAMACION</c:v>
                </c:pt>
                <c:pt idx="2">
                  <c:v>WINDOWS</c:v>
                </c:pt>
                <c:pt idx="3">
                  <c:v>WORD</c:v>
                </c:pt>
                <c:pt idx="4">
                  <c:v>DISEÑO</c:v>
                </c:pt>
                <c:pt idx="5">
                  <c:v>ACCESS</c:v>
                </c:pt>
                <c:pt idx="6">
                  <c:v>EXCEL</c:v>
                </c:pt>
              </c:strCache>
            </c:strRef>
          </c:cat>
          <c:val>
            <c:numRef>
              <c:f>Analisis!$B$4:$B$11</c:f>
              <c:numCache>
                <c:formatCode>_("$"* #,##0.00_);_("$"* \(#,##0.00\);_("$"* "-"??_);_(@_)</c:formatCode>
                <c:ptCount val="7"/>
                <c:pt idx="0">
                  <c:v>2675</c:v>
                </c:pt>
                <c:pt idx="1">
                  <c:v>3375</c:v>
                </c:pt>
                <c:pt idx="2">
                  <c:v>9500</c:v>
                </c:pt>
                <c:pt idx="3">
                  <c:v>13445</c:v>
                </c:pt>
                <c:pt idx="4">
                  <c:v>14520</c:v>
                </c:pt>
                <c:pt idx="5">
                  <c:v>19225</c:v>
                </c:pt>
                <c:pt idx="6">
                  <c:v>19865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F-48D1-B432-9A08BCD15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136362272"/>
        <c:axId val="1136346464"/>
      </c:barChart>
      <c:catAx>
        <c:axId val="113636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endParaRPr lang="es-MX"/>
          </a:p>
        </c:txPr>
        <c:crossAx val="1136346464"/>
        <c:crosses val="autoZero"/>
        <c:auto val="1"/>
        <c:lblAlgn val="ctr"/>
        <c:lblOffset val="100"/>
        <c:noMultiLvlLbl val="0"/>
      </c:catAx>
      <c:valAx>
        <c:axId val="1136346464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13636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[Practica.xlsx]Analisis!TablaDinámica2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C4C96"/>
          </a:solidFill>
          <a:ln w="19050"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</c:pivotFmt>
      <c:pivotFmt>
        <c:idx val="7"/>
        <c:spPr>
          <a:solidFill>
            <a:srgbClr val="FF5F66"/>
          </a:solidFill>
          <a:ln w="19050"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</c:pivotFmt>
      <c:pivotFmt>
        <c:idx val="8"/>
        <c:spPr>
          <a:solidFill>
            <a:srgbClr val="FFA600"/>
          </a:solidFill>
          <a:ln w="19050"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Analisis!$E$3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dPt>
            <c:idx val="0"/>
            <c:bubble3D val="0"/>
            <c:spPr>
              <a:solidFill>
                <a:srgbClr val="BC4C96"/>
              </a:solidFill>
              <a:ln w="19050"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66DA-4A51-ADB6-8F4AF5740857}"/>
              </c:ext>
            </c:extLst>
          </c:dPt>
          <c:dPt>
            <c:idx val="1"/>
            <c:bubble3D val="0"/>
            <c:spPr>
              <a:solidFill>
                <a:srgbClr val="FF5F66"/>
              </a:solidFill>
              <a:ln w="19050"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66DA-4A51-ADB6-8F4AF5740857}"/>
              </c:ext>
            </c:extLst>
          </c:dPt>
          <c:dPt>
            <c:idx val="2"/>
            <c:bubble3D val="0"/>
            <c:spPr>
              <a:solidFill>
                <a:srgbClr val="FFA600"/>
              </a:solidFill>
              <a:ln w="19050"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66DA-4A51-ADB6-8F4AF5740857}"/>
              </c:ext>
            </c:extLst>
          </c:dPt>
          <c:dLbls>
            <c:spPr>
              <a:noFill/>
              <a:ln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haroni" panose="02010803020104030203" pitchFamily="2" charset="-79"/>
                    <a:ea typeface="+mn-ea"/>
                    <a:cs typeface="Aharoni" panose="02010803020104030203" pitchFamily="2" charset="-79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Analisis!$D$4:$D$7</c:f>
              <c:strCache>
                <c:ptCount val="3"/>
                <c:pt idx="0">
                  <c:v>ESPAÑA</c:v>
                </c:pt>
                <c:pt idx="1">
                  <c:v>FRANCIA</c:v>
                </c:pt>
                <c:pt idx="2">
                  <c:v>ITALIA</c:v>
                </c:pt>
              </c:strCache>
            </c:strRef>
          </c:cat>
          <c:val>
            <c:numRef>
              <c:f>Analisis!$E$4:$E$7</c:f>
              <c:numCache>
                <c:formatCode>0.00%</c:formatCode>
                <c:ptCount val="3"/>
                <c:pt idx="0">
                  <c:v>0.44071182131832215</c:v>
                </c:pt>
                <c:pt idx="1">
                  <c:v>0.35391320138006171</c:v>
                </c:pt>
                <c:pt idx="2">
                  <c:v>0.20537497730161614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DA-4A51-ADB6-8F4AF57408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41275"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c:spPr>
    </c:plotArea>
    <c:legend>
      <c:legendPos val="b"/>
      <c:overlay val="0"/>
      <c:spPr>
        <a:noFill/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innerShdw blurRad="63500" dist="50800" dir="2700000">
        <a:prstClr val="black">
          <a:alpha val="50000"/>
        </a:prstClr>
      </a:inn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[Practica.xlsx]Analisis!TablaDinámica3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C4C96"/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C4C96"/>
            </a:solidFill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Aharoni" panose="02010803020104030203" pitchFamily="2" charset="-79"/>
                    <a:ea typeface="+mn-ea"/>
                    <a:cs typeface="Aharoni" panose="02010803020104030203" pitchFamily="2" charset="-79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Analisis!$G$4:$G$16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Analisis!$H$4:$H$16</c:f>
              <c:numCache>
                <c:formatCode>_("$"* #,##0.00_);_("$"* \(#,##0.00\);_("$"* "-"??_);_(@_)</c:formatCode>
                <c:ptCount val="12"/>
                <c:pt idx="0">
                  <c:v>2795</c:v>
                </c:pt>
                <c:pt idx="1">
                  <c:v>7465</c:v>
                </c:pt>
                <c:pt idx="2">
                  <c:v>7155</c:v>
                </c:pt>
                <c:pt idx="3">
                  <c:v>7220</c:v>
                </c:pt>
                <c:pt idx="4">
                  <c:v>9245</c:v>
                </c:pt>
                <c:pt idx="5">
                  <c:v>7520</c:v>
                </c:pt>
                <c:pt idx="6">
                  <c:v>6860</c:v>
                </c:pt>
                <c:pt idx="7">
                  <c:v>9140</c:v>
                </c:pt>
                <c:pt idx="8">
                  <c:v>5625</c:v>
                </c:pt>
                <c:pt idx="9">
                  <c:v>3450</c:v>
                </c:pt>
                <c:pt idx="10">
                  <c:v>7805</c:v>
                </c:pt>
                <c:pt idx="11">
                  <c:v>8325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A-4680-9D96-BF4043593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237351328"/>
        <c:axId val="237350080"/>
      </c:barChart>
      <c:catAx>
        <c:axId val="23735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endParaRPr lang="es-MX"/>
          </a:p>
        </c:txPr>
        <c:crossAx val="237350080"/>
        <c:crosses val="autoZero"/>
        <c:auto val="1"/>
        <c:lblAlgn val="ctr"/>
        <c:lblOffset val="100"/>
        <c:noMultiLvlLbl val="0"/>
      </c:catAx>
      <c:valAx>
        <c:axId val="237350080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373513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[Practica.xlsx]Analisis!TablaDinámica4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5F66"/>
          </a:solidFill>
          <a:ln w="19050"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Aharoni" panose="02010803020104030203" pitchFamily="2" charset="-79"/>
                    <a:ea typeface="+mn-ea"/>
                    <a:cs typeface="Aharoni" panose="02010803020104030203" pitchFamily="2" charset="-79"/>
                  </a:defRPr>
                </a:pPr>
                <a:fld id="{4A9CF73B-285A-4973-AD04-521F186A8AB8}" type="VALUE">
                  <a:rPr lang="en-US" sz="1600" b="1">
                    <a:latin typeface="Aharoni" panose="02010803020104030203" pitchFamily="2" charset="-79"/>
                    <a:cs typeface="Aharoni" panose="02010803020104030203" pitchFamily="2" charset="-79"/>
                  </a:rPr>
                  <a:pPr>
                    <a:defRPr sz="1600" b="1">
                      <a:solidFill>
                        <a:schemeClr val="bg1"/>
                      </a:solidFill>
                      <a:latin typeface="Aharoni" panose="02010803020104030203" pitchFamily="2" charset="-79"/>
                      <a:cs typeface="Aharoni" panose="02010803020104030203" pitchFamily="2" charset="-79"/>
                    </a:defRPr>
                  </a:pPr>
                  <a:t>[VALOR]</a:t>
                </a:fld>
                <a:endParaRPr lang="es-MX"/>
              </a:p>
            </c:rich>
          </c:tx>
          <c:spPr>
            <a:noFill/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465184214520591"/>
                  <c:h val="0.14030291871238471"/>
                </c:manualLayout>
              </c15:layout>
              <c15:dlblFieldTable/>
              <c15:showDataLabelsRange val="0"/>
            </c:ext>
          </c:extLst>
        </c:dLbl>
      </c:pivotFmt>
      <c:pivotFmt>
        <c:idx val="6"/>
        <c:spPr>
          <a:solidFill>
            <a:srgbClr val="BC4C96"/>
          </a:solidFill>
          <a:ln w="19050"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Aharoni" panose="02010803020104030203" pitchFamily="2" charset="-79"/>
                    <a:ea typeface="+mn-ea"/>
                    <a:cs typeface="Aharoni" panose="02010803020104030203" pitchFamily="2" charset="-79"/>
                  </a:defRPr>
                </a:pPr>
                <a:fld id="{E9C9F35A-6126-45A1-96F0-05C788F07164}" type="VALUE">
                  <a:rPr lang="en-US" sz="1600" b="1">
                    <a:latin typeface="Aharoni" panose="02010803020104030203" pitchFamily="2" charset="-79"/>
                    <a:cs typeface="Aharoni" panose="02010803020104030203" pitchFamily="2" charset="-79"/>
                  </a:rPr>
                  <a:pPr>
                    <a:defRPr sz="1600" b="1">
                      <a:solidFill>
                        <a:schemeClr val="bg1"/>
                      </a:solidFill>
                      <a:latin typeface="Aharoni" panose="02010803020104030203" pitchFamily="2" charset="-79"/>
                      <a:cs typeface="Aharoni" panose="02010803020104030203" pitchFamily="2" charset="-79"/>
                    </a:defRPr>
                  </a:pPr>
                  <a:t>[VALOR]</a:t>
                </a:fld>
                <a:endParaRPr lang="es-MX"/>
              </a:p>
            </c:rich>
          </c:tx>
          <c:spPr>
            <a:noFill/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451196978353629"/>
                  <c:h val="0.29181794971927966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Analisis!$K$3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dPt>
            <c:idx val="0"/>
            <c:bubble3D val="0"/>
            <c:spPr>
              <a:solidFill>
                <a:srgbClr val="FF5F66"/>
              </a:solidFill>
              <a:ln w="19050"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3915-44DF-8992-F86378168E7B}"/>
              </c:ext>
            </c:extLst>
          </c:dPt>
          <c:dPt>
            <c:idx val="1"/>
            <c:bubble3D val="0"/>
            <c:spPr>
              <a:solidFill>
                <a:srgbClr val="BC4C96"/>
              </a:solidFill>
              <a:ln w="19050"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915-44DF-8992-F86378168E7B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600" b="1" i="0" u="none" strike="noStrike" kern="1200" baseline="0">
                        <a:solidFill>
                          <a:schemeClr val="bg1"/>
                        </a:solidFill>
                        <a:latin typeface="Aharoni" panose="02010803020104030203" pitchFamily="2" charset="-79"/>
                        <a:ea typeface="+mn-ea"/>
                        <a:cs typeface="Aharoni" panose="02010803020104030203" pitchFamily="2" charset="-79"/>
                      </a:defRPr>
                    </a:pPr>
                    <a:fld id="{4A9CF73B-285A-4973-AD04-521F186A8AB8}" type="VALUE">
                      <a:rPr lang="en-US" sz="1600" b="1">
                        <a:latin typeface="Aharoni" panose="02010803020104030203" pitchFamily="2" charset="-79"/>
                        <a:cs typeface="Aharoni" panose="02010803020104030203" pitchFamily="2" charset="-79"/>
                      </a:rPr>
                      <a:pPr>
                        <a:defRPr sz="1600" b="1">
                          <a:solidFill>
                            <a:schemeClr val="bg1"/>
                          </a:solidFill>
                          <a:latin typeface="Aharoni" panose="02010803020104030203" pitchFamily="2" charset="-79"/>
                          <a:cs typeface="Aharoni" panose="02010803020104030203" pitchFamily="2" charset="-79"/>
                        </a:defRPr>
                      </a:pPr>
                      <a:t>[VALOR]</a:t>
                    </a:fld>
                    <a:endParaRPr lang="es-MX"/>
                  </a:p>
                </c:rich>
              </c:tx>
              <c:spPr>
                <a:noFill/>
                <a:ln>
                  <a:noFill/>
                </a:ln>
                <a:effectLst>
                  <a:innerShdw blurRad="63500" dist="50800" dir="2700000">
                    <a:prstClr val="black">
                      <a:alpha val="50000"/>
                    </a:prstClr>
                  </a:inn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bg1"/>
                      </a:solidFill>
                      <a:latin typeface="Aharoni" panose="02010803020104030203" pitchFamily="2" charset="-79"/>
                      <a:ea typeface="+mn-ea"/>
                      <a:cs typeface="Aharoni" panose="02010803020104030203" pitchFamily="2" charset="-79"/>
                    </a:defRPr>
                  </a:pPr>
                  <a:endParaRPr lang="es-MX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465184214520591"/>
                      <c:h val="0.1403029187123847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915-44DF-8992-F86378168E7B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600" b="1" i="0" u="none" strike="noStrike" kern="1200" baseline="0">
                        <a:solidFill>
                          <a:schemeClr val="bg1"/>
                        </a:solidFill>
                        <a:latin typeface="Aharoni" panose="02010803020104030203" pitchFamily="2" charset="-79"/>
                        <a:ea typeface="+mn-ea"/>
                        <a:cs typeface="Aharoni" panose="02010803020104030203" pitchFamily="2" charset="-79"/>
                      </a:defRPr>
                    </a:pPr>
                    <a:fld id="{E9C9F35A-6126-45A1-96F0-05C788F07164}" type="VALUE">
                      <a:rPr lang="en-US" sz="1600" b="1">
                        <a:latin typeface="Aharoni" panose="02010803020104030203" pitchFamily="2" charset="-79"/>
                        <a:cs typeface="Aharoni" panose="02010803020104030203" pitchFamily="2" charset="-79"/>
                      </a:rPr>
                      <a:pPr>
                        <a:defRPr sz="1600" b="1">
                          <a:solidFill>
                            <a:schemeClr val="bg1"/>
                          </a:solidFill>
                          <a:latin typeface="Aharoni" panose="02010803020104030203" pitchFamily="2" charset="-79"/>
                          <a:cs typeface="Aharoni" panose="02010803020104030203" pitchFamily="2" charset="-79"/>
                        </a:defRPr>
                      </a:pPr>
                      <a:t>[VALOR]</a:t>
                    </a:fld>
                    <a:endParaRPr lang="es-MX"/>
                  </a:p>
                </c:rich>
              </c:tx>
              <c:spPr>
                <a:noFill/>
                <a:ln>
                  <a:noFill/>
                </a:ln>
                <a:effectLst>
                  <a:innerShdw blurRad="63500" dist="50800" dir="2700000">
                    <a:prstClr val="black">
                      <a:alpha val="50000"/>
                    </a:prstClr>
                  </a:inn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bg1"/>
                      </a:solidFill>
                      <a:latin typeface="Aharoni" panose="02010803020104030203" pitchFamily="2" charset="-79"/>
                      <a:ea typeface="+mn-ea"/>
                      <a:cs typeface="Aharoni" panose="02010803020104030203" pitchFamily="2" charset="-79"/>
                    </a:defRPr>
                  </a:pPr>
                  <a:endParaRPr lang="es-MX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451196978353629"/>
                      <c:h val="0.2918179497192796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915-44DF-8992-F86378168E7B}"/>
                </c:ext>
              </c:extLst>
            </c:dLbl>
            <c:spPr>
              <a:noFill/>
              <a:ln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Aharoni" panose="02010803020104030203" pitchFamily="2" charset="-79"/>
                    <a:ea typeface="+mn-ea"/>
                    <a:cs typeface="Aharoni" panose="02010803020104030203" pitchFamily="2" charset="-79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Analisis!$J$4:$J$6</c:f>
              <c:strCache>
                <c:ptCount val="2"/>
                <c:pt idx="0">
                  <c:v>NO</c:v>
                </c:pt>
                <c:pt idx="1">
                  <c:v>SI</c:v>
                </c:pt>
              </c:strCache>
            </c:strRef>
          </c:cat>
          <c:val>
            <c:numRef>
              <c:f>Analisis!$K$4:$K$6</c:f>
              <c:numCache>
                <c:formatCode>0.00%</c:formatCode>
                <c:ptCount val="2"/>
                <c:pt idx="0">
                  <c:v>0.21620967253798196</c:v>
                </c:pt>
                <c:pt idx="1">
                  <c:v>0.78379032746201804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15-44DF-8992-F86378168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[Practica.xlsx]Analisis!TablaDinámica5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94E90"/>
          </a:solidFill>
          <a:ln w="19050"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</c:pivotFmt>
      <c:pivotFmt>
        <c:idx val="7"/>
        <c:spPr>
          <a:solidFill>
            <a:srgbClr val="FF5F66"/>
          </a:solidFill>
          <a:ln w="19050"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</c:pivotFmt>
      <c:pivotFmt>
        <c:idx val="8"/>
        <c:spPr>
          <a:solidFill>
            <a:srgbClr val="BC4C96"/>
          </a:solidFill>
          <a:ln w="19050"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Analisis!$N$3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dPt>
            <c:idx val="0"/>
            <c:bubble3D val="0"/>
            <c:spPr>
              <a:solidFill>
                <a:srgbClr val="594E90"/>
              </a:solidFill>
              <a:ln w="19050"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8A02-4F93-9BB1-F4673E30A845}"/>
              </c:ext>
            </c:extLst>
          </c:dPt>
          <c:dPt>
            <c:idx val="1"/>
            <c:bubble3D val="0"/>
            <c:spPr>
              <a:solidFill>
                <a:srgbClr val="FF5F66"/>
              </a:solidFill>
              <a:ln w="19050"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8A02-4F93-9BB1-F4673E30A845}"/>
              </c:ext>
            </c:extLst>
          </c:dPt>
          <c:dPt>
            <c:idx val="2"/>
            <c:bubble3D val="0"/>
            <c:spPr>
              <a:solidFill>
                <a:srgbClr val="BC4C96"/>
              </a:solidFill>
              <a:ln w="19050"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8A02-4F93-9BB1-F4673E30A845}"/>
              </c:ext>
            </c:extLst>
          </c:dPt>
          <c:dLbls>
            <c:spPr>
              <a:noFill/>
              <a:ln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Aharoni" panose="02010803020104030203" pitchFamily="2" charset="-79"/>
                    <a:ea typeface="+mn-ea"/>
                    <a:cs typeface="Aharoni" panose="02010803020104030203" pitchFamily="2" charset="-79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Analisis!$M$4:$M$7</c:f>
              <c:strCache>
                <c:ptCount val="3"/>
                <c:pt idx="0">
                  <c:v>MAÑANA</c:v>
                </c:pt>
                <c:pt idx="1">
                  <c:v>NOCHE</c:v>
                </c:pt>
                <c:pt idx="2">
                  <c:v>TARDE</c:v>
                </c:pt>
              </c:strCache>
            </c:strRef>
          </c:cat>
          <c:val>
            <c:numRef>
              <c:f>Analisis!$N$4:$N$7</c:f>
              <c:numCache>
                <c:formatCode>0.00%</c:formatCode>
                <c:ptCount val="3"/>
                <c:pt idx="0">
                  <c:v>0.26</c:v>
                </c:pt>
                <c:pt idx="1">
                  <c:v>0.34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02-4F93-9BB1-F4673E30A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innerShdw blurRad="63500" dist="50800" dir="2700000">
        <a:prstClr val="black">
          <a:alpha val="50000"/>
        </a:prstClr>
      </a:inn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[Practica.xlsx]Analisis!TablaDinámica6</c:name>
    <c:fmtId val="9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5F66"/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5F66"/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Aharoni" panose="02010803020104030203" pitchFamily="2" charset="-79"/>
                  <a:ea typeface="+mn-ea"/>
                  <a:cs typeface="Aharoni" panose="02010803020104030203" pitchFamily="2" charset="-79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29627930279283E-2"/>
          <c:y val="0"/>
          <c:w val="0.96726363854932695"/>
          <c:h val="0.894341848796151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5F66"/>
            </a:solidFill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Aharoni" panose="02010803020104030203" pitchFamily="2" charset="-79"/>
                    <a:ea typeface="+mn-ea"/>
                    <a:cs typeface="Aharoni" panose="02010803020104030203" pitchFamily="2" charset="-79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Analisis!$P$4:$P$11</c:f>
              <c:strCache>
                <c:ptCount val="7"/>
                <c:pt idx="0">
                  <c:v>ACCESS</c:v>
                </c:pt>
                <c:pt idx="1">
                  <c:v>DISEÑO</c:v>
                </c:pt>
                <c:pt idx="2">
                  <c:v>EXCEL</c:v>
                </c:pt>
                <c:pt idx="3">
                  <c:v>INTERNET</c:v>
                </c:pt>
                <c:pt idx="4">
                  <c:v>PROGRAMACION</c:v>
                </c:pt>
                <c:pt idx="5">
                  <c:v>WINDOWS</c:v>
                </c:pt>
                <c:pt idx="6">
                  <c:v>WORD</c:v>
                </c:pt>
              </c:strCache>
            </c:strRef>
          </c:cat>
          <c:val>
            <c:numRef>
              <c:f>Analisis!$Q$4:$Q$11</c:f>
              <c:numCache>
                <c:formatCode>0</c:formatCode>
                <c:ptCount val="7"/>
                <c:pt idx="0">
                  <c:v>25</c:v>
                </c:pt>
                <c:pt idx="1">
                  <c:v>13</c:v>
                </c:pt>
                <c:pt idx="2">
                  <c:v>23</c:v>
                </c:pt>
                <c:pt idx="3">
                  <c:v>4</c:v>
                </c:pt>
                <c:pt idx="4">
                  <c:v>2</c:v>
                </c:pt>
                <c:pt idx="5">
                  <c:v>13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74-418F-9735-9015540C6D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713971616"/>
        <c:axId val="713972864"/>
      </c:barChart>
      <c:catAx>
        <c:axId val="71397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endParaRPr lang="es-MX"/>
          </a:p>
        </c:txPr>
        <c:crossAx val="713972864"/>
        <c:crosses val="autoZero"/>
        <c:auto val="1"/>
        <c:lblAlgn val="ctr"/>
        <c:lblOffset val="100"/>
        <c:noMultiLvlLbl val="0"/>
      </c:catAx>
      <c:valAx>
        <c:axId val="71397286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71397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0" Type="http://schemas.openxmlformats.org/officeDocument/2006/relationships/image" Target="../media/image4.svg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11206</xdr:rowOff>
    </xdr:from>
    <xdr:to>
      <xdr:col>23</xdr:col>
      <xdr:colOff>533400</xdr:colOff>
      <xdr:row>57</xdr:row>
      <xdr:rowOff>144557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D6648785-5DF2-44EF-9F15-3D3DE28E4EF0}"/>
            </a:ext>
          </a:extLst>
        </xdr:cNvPr>
        <xdr:cNvSpPr/>
      </xdr:nvSpPr>
      <xdr:spPr>
        <a:xfrm>
          <a:off x="0" y="11206"/>
          <a:ext cx="18059400" cy="907564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000"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412079</xdr:colOff>
      <xdr:row>10</xdr:row>
      <xdr:rowOff>142522</xdr:rowOff>
    </xdr:from>
    <xdr:to>
      <xdr:col>10</xdr:col>
      <xdr:colOff>699255</xdr:colOff>
      <xdr:row>32</xdr:row>
      <xdr:rowOff>85878</xdr:rowOff>
    </xdr:to>
    <xdr:grpSp>
      <xdr:nvGrpSpPr>
        <xdr:cNvPr id="95" name="Grupo 94">
          <a:extLst>
            <a:ext uri="{FF2B5EF4-FFF2-40B4-BE49-F238E27FC236}">
              <a16:creationId xmlns:a16="http://schemas.microsoft.com/office/drawing/2014/main" id="{9E1EF38E-71AB-4B29-8602-65F1885E2108}"/>
            </a:ext>
          </a:extLst>
        </xdr:cNvPr>
        <xdr:cNvGrpSpPr/>
      </xdr:nvGrpSpPr>
      <xdr:grpSpPr>
        <a:xfrm>
          <a:off x="408904" y="1714521"/>
          <a:ext cx="7907176" cy="3388417"/>
          <a:chOff x="193074" y="2069935"/>
          <a:chExt cx="8703791" cy="3822196"/>
        </a:xfrm>
      </xdr:grpSpPr>
      <xdr:grpSp>
        <xdr:nvGrpSpPr>
          <xdr:cNvPr id="40" name="Grupo 39">
            <a:extLst>
              <a:ext uri="{FF2B5EF4-FFF2-40B4-BE49-F238E27FC236}">
                <a16:creationId xmlns:a16="http://schemas.microsoft.com/office/drawing/2014/main" id="{61A7B7BB-9B8B-49B4-BE77-880E40387100}"/>
              </a:ext>
            </a:extLst>
          </xdr:cNvPr>
          <xdr:cNvGrpSpPr/>
        </xdr:nvGrpSpPr>
        <xdr:grpSpPr>
          <a:xfrm>
            <a:off x="201614" y="2066760"/>
            <a:ext cx="8629779" cy="3822196"/>
            <a:chOff x="354013" y="2742473"/>
            <a:chExt cx="7947476" cy="4216525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37" name="Rectángulo: esquinas redondeadas 36">
              <a:extLst>
                <a:ext uri="{FF2B5EF4-FFF2-40B4-BE49-F238E27FC236}">
                  <a16:creationId xmlns:a16="http://schemas.microsoft.com/office/drawing/2014/main" id="{312B3444-6615-4B86-8CDC-525F0ED81826}"/>
                </a:ext>
              </a:extLst>
            </xdr:cNvPr>
            <xdr:cNvSpPr/>
          </xdr:nvSpPr>
          <xdr:spPr>
            <a:xfrm>
              <a:off x="354013" y="2745559"/>
              <a:ext cx="7937157" cy="4213439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38" name="Rectángulo: esquinas redondeadas 37">
              <a:extLst>
                <a:ext uri="{FF2B5EF4-FFF2-40B4-BE49-F238E27FC236}">
                  <a16:creationId xmlns:a16="http://schemas.microsoft.com/office/drawing/2014/main" id="{A13971F8-5E95-401E-8A6F-A57E5ADDE64F}"/>
                </a:ext>
              </a:extLst>
            </xdr:cNvPr>
            <xdr:cNvSpPr/>
          </xdr:nvSpPr>
          <xdr:spPr>
            <a:xfrm>
              <a:off x="354941" y="2742473"/>
              <a:ext cx="7946548" cy="539325"/>
            </a:xfrm>
            <a:prstGeom prst="roundRect">
              <a:avLst>
                <a:gd name="adj" fmla="val 22501"/>
              </a:avLst>
            </a:prstGeom>
            <a:solidFill>
              <a:srgbClr val="003F5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39" name="Rectángulo 38">
              <a:extLst>
                <a:ext uri="{FF2B5EF4-FFF2-40B4-BE49-F238E27FC236}">
                  <a16:creationId xmlns:a16="http://schemas.microsoft.com/office/drawing/2014/main" id="{9C11DFFE-8D46-4C53-A52D-29A24C7E1F9C}"/>
                </a:ext>
              </a:extLst>
            </xdr:cNvPr>
            <xdr:cNvSpPr/>
          </xdr:nvSpPr>
          <xdr:spPr>
            <a:xfrm>
              <a:off x="354693" y="3098548"/>
              <a:ext cx="7946507" cy="351490"/>
            </a:xfrm>
            <a:prstGeom prst="rect">
              <a:avLst/>
            </a:prstGeom>
            <a:solidFill>
              <a:srgbClr val="003F5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</xdr:grp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150FE9F1-A97F-406E-9715-A87D7E582336}"/>
              </a:ext>
            </a:extLst>
          </xdr:cNvPr>
          <xdr:cNvSpPr txBox="1"/>
        </xdr:nvSpPr>
        <xdr:spPr>
          <a:xfrm>
            <a:off x="2316957" y="2196354"/>
            <a:ext cx="4399092" cy="362076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2000" b="1">
                <a:solidFill>
                  <a:schemeClr val="bg1"/>
                </a:solidFill>
                <a:latin typeface="Aharoni" panose="020B0604020202020204" pitchFamily="2" charset="-79"/>
                <a:cs typeface="Aharoni" panose="020B0604020202020204" pitchFamily="2" charset="-79"/>
              </a:rPr>
              <a:t>Facturacion</a:t>
            </a:r>
            <a:r>
              <a:rPr lang="es-MX" sz="2000" b="1" baseline="0">
                <a:solidFill>
                  <a:schemeClr val="bg1"/>
                </a:solidFill>
                <a:latin typeface="Aharoni" panose="020B0604020202020204" pitchFamily="2" charset="-79"/>
                <a:cs typeface="Aharoni" panose="020B0604020202020204" pitchFamily="2" charset="-79"/>
              </a:rPr>
              <a:t> por tipo de curso</a:t>
            </a:r>
            <a:endParaRPr lang="es-MX" sz="2000" b="1">
              <a:solidFill>
                <a:schemeClr val="bg1"/>
              </a:solidFill>
              <a:latin typeface="Aharoni" panose="020B0604020202020204" pitchFamily="2" charset="-79"/>
              <a:cs typeface="Aharoni" panose="020B0604020202020204" pitchFamily="2" charset="-79"/>
            </a:endParaRPr>
          </a:p>
        </xdr:txBody>
      </xdr:sp>
      <xdr:graphicFrame macro="">
        <xdr:nvGraphicFramePr>
          <xdr:cNvPr id="69" name="Gráfico 68">
            <a:extLst>
              <a:ext uri="{FF2B5EF4-FFF2-40B4-BE49-F238E27FC236}">
                <a16:creationId xmlns:a16="http://schemas.microsoft.com/office/drawing/2014/main" id="{564E6CE9-8102-4766-97C5-B3357620EF1B}"/>
              </a:ext>
            </a:extLst>
          </xdr:cNvPr>
          <xdr:cNvGraphicFramePr>
            <a:graphicFrameLocks/>
          </xdr:cNvGraphicFramePr>
        </xdr:nvGraphicFramePr>
        <xdr:xfrm>
          <a:off x="193074" y="2716686"/>
          <a:ext cx="8703791" cy="316519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11</xdr:col>
      <xdr:colOff>431757</xdr:colOff>
      <xdr:row>10</xdr:row>
      <xdr:rowOff>115255</xdr:rowOff>
    </xdr:from>
    <xdr:to>
      <xdr:col>17</xdr:col>
      <xdr:colOff>50201</xdr:colOff>
      <xdr:row>32</xdr:row>
      <xdr:rowOff>46992</xdr:rowOff>
    </xdr:to>
    <xdr:grpSp>
      <xdr:nvGrpSpPr>
        <xdr:cNvPr id="100" name="Grupo 99">
          <a:extLst>
            <a:ext uri="{FF2B5EF4-FFF2-40B4-BE49-F238E27FC236}">
              <a16:creationId xmlns:a16="http://schemas.microsoft.com/office/drawing/2014/main" id="{C9E79B1E-81F5-478B-9133-9F9D7C1428A7}"/>
            </a:ext>
          </a:extLst>
        </xdr:cNvPr>
        <xdr:cNvGrpSpPr/>
      </xdr:nvGrpSpPr>
      <xdr:grpSpPr>
        <a:xfrm>
          <a:off x="8810582" y="1684079"/>
          <a:ext cx="4190444" cy="3386323"/>
          <a:chOff x="9327357" y="2076285"/>
          <a:chExt cx="4596789" cy="3815846"/>
        </a:xfrm>
      </xdr:grpSpPr>
      <xdr:grpSp>
        <xdr:nvGrpSpPr>
          <xdr:cNvPr id="46" name="Grupo 45">
            <a:extLst>
              <a:ext uri="{FF2B5EF4-FFF2-40B4-BE49-F238E27FC236}">
                <a16:creationId xmlns:a16="http://schemas.microsoft.com/office/drawing/2014/main" id="{116BF423-C25E-45A2-9B11-AA8563E992B7}"/>
              </a:ext>
            </a:extLst>
          </xdr:cNvPr>
          <xdr:cNvGrpSpPr/>
        </xdr:nvGrpSpPr>
        <xdr:grpSpPr>
          <a:xfrm>
            <a:off x="9449706" y="2076285"/>
            <a:ext cx="4316496" cy="3812671"/>
            <a:chOff x="354013" y="2742473"/>
            <a:chExt cx="7947476" cy="4216525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47" name="Rectángulo: esquinas redondeadas 46">
              <a:extLst>
                <a:ext uri="{FF2B5EF4-FFF2-40B4-BE49-F238E27FC236}">
                  <a16:creationId xmlns:a16="http://schemas.microsoft.com/office/drawing/2014/main" id="{EAC737FD-4E0B-4B28-BF47-EC4A4DD7028A}"/>
                </a:ext>
              </a:extLst>
            </xdr:cNvPr>
            <xdr:cNvSpPr/>
          </xdr:nvSpPr>
          <xdr:spPr>
            <a:xfrm>
              <a:off x="354013" y="2745559"/>
              <a:ext cx="7937157" cy="4213439"/>
            </a:xfrm>
            <a:prstGeom prst="round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48" name="Rectángulo: esquinas redondeadas 47">
              <a:extLst>
                <a:ext uri="{FF2B5EF4-FFF2-40B4-BE49-F238E27FC236}">
                  <a16:creationId xmlns:a16="http://schemas.microsoft.com/office/drawing/2014/main" id="{936B7BC0-D08A-40CD-AC79-BBBA60C89822}"/>
                </a:ext>
              </a:extLst>
            </xdr:cNvPr>
            <xdr:cNvSpPr/>
          </xdr:nvSpPr>
          <xdr:spPr>
            <a:xfrm>
              <a:off x="354941" y="2742473"/>
              <a:ext cx="7946548" cy="539325"/>
            </a:xfrm>
            <a:prstGeom prst="roundRect">
              <a:avLst>
                <a:gd name="adj" fmla="val 22501"/>
              </a:avLst>
            </a:prstGeom>
            <a:solidFill>
              <a:srgbClr val="003F5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49" name="Rectángulo 48">
              <a:extLst>
                <a:ext uri="{FF2B5EF4-FFF2-40B4-BE49-F238E27FC236}">
                  <a16:creationId xmlns:a16="http://schemas.microsoft.com/office/drawing/2014/main" id="{7FC8FEE6-54B1-4150-83C2-2D424FBE5750}"/>
                </a:ext>
              </a:extLst>
            </xdr:cNvPr>
            <xdr:cNvSpPr/>
          </xdr:nvSpPr>
          <xdr:spPr>
            <a:xfrm>
              <a:off x="354693" y="3098548"/>
              <a:ext cx="7946507" cy="351490"/>
            </a:xfrm>
            <a:prstGeom prst="rect">
              <a:avLst/>
            </a:prstGeom>
            <a:solidFill>
              <a:srgbClr val="003F5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</xdr:grpSp>
      <xdr:sp macro="" textlink="">
        <xdr:nvSpPr>
          <xdr:cNvPr id="65" name="CuadroTexto 64">
            <a:extLst>
              <a:ext uri="{FF2B5EF4-FFF2-40B4-BE49-F238E27FC236}">
                <a16:creationId xmlns:a16="http://schemas.microsoft.com/office/drawing/2014/main" id="{D24A781F-D6A2-4272-8FC5-8BFAC07B4219}"/>
              </a:ext>
            </a:extLst>
          </xdr:cNvPr>
          <xdr:cNvSpPr txBox="1"/>
        </xdr:nvSpPr>
        <xdr:spPr>
          <a:xfrm>
            <a:off x="9327357" y="2207166"/>
            <a:ext cx="4395316" cy="358901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2400" b="1">
                <a:solidFill>
                  <a:schemeClr val="bg1"/>
                </a:solidFill>
                <a:latin typeface="Aharoni" panose="020B0604020202020204" pitchFamily="2" charset="-79"/>
                <a:cs typeface="Aharoni" panose="020B0604020202020204" pitchFamily="2" charset="-79"/>
              </a:rPr>
              <a:t>Distribucion</a:t>
            </a:r>
            <a:r>
              <a:rPr lang="es-MX" sz="2400" b="1" baseline="0">
                <a:solidFill>
                  <a:schemeClr val="bg1"/>
                </a:solidFill>
                <a:latin typeface="Aharoni" panose="020B0604020202020204" pitchFamily="2" charset="-79"/>
                <a:cs typeface="Aharoni" panose="020B0604020202020204" pitchFamily="2" charset="-79"/>
              </a:rPr>
              <a:t> por pais</a:t>
            </a:r>
            <a:endParaRPr lang="es-MX" sz="2400" b="1">
              <a:solidFill>
                <a:schemeClr val="bg1"/>
              </a:solidFill>
              <a:latin typeface="Aharoni" panose="020B0604020202020204" pitchFamily="2" charset="-79"/>
              <a:cs typeface="Aharoni" panose="020B0604020202020204" pitchFamily="2" charset="-79"/>
            </a:endParaRPr>
          </a:p>
        </xdr:txBody>
      </xdr:sp>
      <xdr:graphicFrame macro="">
        <xdr:nvGraphicFramePr>
          <xdr:cNvPr id="70" name="Gráfico 69">
            <a:extLst>
              <a:ext uri="{FF2B5EF4-FFF2-40B4-BE49-F238E27FC236}">
                <a16:creationId xmlns:a16="http://schemas.microsoft.com/office/drawing/2014/main" id="{4280EC23-C1F4-4268-967F-81C602022956}"/>
              </a:ext>
            </a:extLst>
          </xdr:cNvPr>
          <xdr:cNvGraphicFramePr>
            <a:graphicFrameLocks/>
          </xdr:cNvGraphicFramePr>
        </xdr:nvGraphicFramePr>
        <xdr:xfrm>
          <a:off x="9359940" y="2849440"/>
          <a:ext cx="4564206" cy="27082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0</xdr:col>
      <xdr:colOff>456534</xdr:colOff>
      <xdr:row>32</xdr:row>
      <xdr:rowOff>142624</xdr:rowOff>
    </xdr:from>
    <xdr:to>
      <xdr:col>10</xdr:col>
      <xdr:colOff>657974</xdr:colOff>
      <xdr:row>56</xdr:row>
      <xdr:rowOff>75851</xdr:rowOff>
    </xdr:to>
    <xdr:grpSp>
      <xdr:nvGrpSpPr>
        <xdr:cNvPr id="99" name="Grupo 98">
          <a:extLst>
            <a:ext uri="{FF2B5EF4-FFF2-40B4-BE49-F238E27FC236}">
              <a16:creationId xmlns:a16="http://schemas.microsoft.com/office/drawing/2014/main" id="{BF3D218F-BD65-4E68-A03A-07D1D1B94790}"/>
            </a:ext>
          </a:extLst>
        </xdr:cNvPr>
        <xdr:cNvGrpSpPr/>
      </xdr:nvGrpSpPr>
      <xdr:grpSpPr>
        <a:xfrm>
          <a:off x="456534" y="5166034"/>
          <a:ext cx="7818265" cy="3695229"/>
          <a:chOff x="196851" y="6068494"/>
          <a:chExt cx="8623429" cy="4154773"/>
        </a:xfrm>
      </xdr:grpSpPr>
      <xdr:grpSp>
        <xdr:nvGrpSpPr>
          <xdr:cNvPr id="42" name="Grupo 41">
            <a:extLst>
              <a:ext uri="{FF2B5EF4-FFF2-40B4-BE49-F238E27FC236}">
                <a16:creationId xmlns:a16="http://schemas.microsoft.com/office/drawing/2014/main" id="{F0AC94EF-4AC1-4652-B32A-EC8CEA015D95}"/>
              </a:ext>
            </a:extLst>
          </xdr:cNvPr>
          <xdr:cNvGrpSpPr/>
        </xdr:nvGrpSpPr>
        <xdr:grpSpPr>
          <a:xfrm>
            <a:off x="200026" y="6065319"/>
            <a:ext cx="8620254" cy="4161123"/>
            <a:chOff x="354013" y="2742473"/>
            <a:chExt cx="7947476" cy="4216525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43" name="Rectángulo: esquinas redondeadas 42">
              <a:extLst>
                <a:ext uri="{FF2B5EF4-FFF2-40B4-BE49-F238E27FC236}">
                  <a16:creationId xmlns:a16="http://schemas.microsoft.com/office/drawing/2014/main" id="{A4D26316-CEC5-4375-B083-0139B0D3A793}"/>
                </a:ext>
              </a:extLst>
            </xdr:cNvPr>
            <xdr:cNvSpPr/>
          </xdr:nvSpPr>
          <xdr:spPr>
            <a:xfrm>
              <a:off x="354013" y="2745559"/>
              <a:ext cx="7937157" cy="4213439"/>
            </a:xfrm>
            <a:prstGeom prst="round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44" name="Rectángulo: esquinas redondeadas 43">
              <a:extLst>
                <a:ext uri="{FF2B5EF4-FFF2-40B4-BE49-F238E27FC236}">
                  <a16:creationId xmlns:a16="http://schemas.microsoft.com/office/drawing/2014/main" id="{FD23974A-3A7F-44C9-848C-D496E2C1B793}"/>
                </a:ext>
              </a:extLst>
            </xdr:cNvPr>
            <xdr:cNvSpPr/>
          </xdr:nvSpPr>
          <xdr:spPr>
            <a:xfrm>
              <a:off x="354941" y="2742473"/>
              <a:ext cx="7946548" cy="539325"/>
            </a:xfrm>
            <a:prstGeom prst="roundRect">
              <a:avLst>
                <a:gd name="adj" fmla="val 22501"/>
              </a:avLst>
            </a:prstGeom>
            <a:solidFill>
              <a:srgbClr val="003F5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45" name="Rectángulo 44">
              <a:extLst>
                <a:ext uri="{FF2B5EF4-FFF2-40B4-BE49-F238E27FC236}">
                  <a16:creationId xmlns:a16="http://schemas.microsoft.com/office/drawing/2014/main" id="{57AA5D2D-0385-4420-91A7-E80FF48EC9DF}"/>
                </a:ext>
              </a:extLst>
            </xdr:cNvPr>
            <xdr:cNvSpPr/>
          </xdr:nvSpPr>
          <xdr:spPr>
            <a:xfrm>
              <a:off x="354693" y="3098548"/>
              <a:ext cx="7946507" cy="351490"/>
            </a:xfrm>
            <a:prstGeom prst="rect">
              <a:avLst/>
            </a:prstGeom>
            <a:solidFill>
              <a:srgbClr val="003F5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</xdr:grpSp>
      <xdr:sp macro="" textlink="">
        <xdr:nvSpPr>
          <xdr:cNvPr id="64" name="CuadroTexto 63">
            <a:extLst>
              <a:ext uri="{FF2B5EF4-FFF2-40B4-BE49-F238E27FC236}">
                <a16:creationId xmlns:a16="http://schemas.microsoft.com/office/drawing/2014/main" id="{7E7633ED-39B0-482E-B924-3A260AB43B95}"/>
              </a:ext>
            </a:extLst>
          </xdr:cNvPr>
          <xdr:cNvSpPr txBox="1"/>
        </xdr:nvSpPr>
        <xdr:spPr>
          <a:xfrm>
            <a:off x="2095565" y="6275295"/>
            <a:ext cx="4401666" cy="362076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2400" b="1">
                <a:solidFill>
                  <a:schemeClr val="bg1"/>
                </a:solidFill>
                <a:latin typeface="Aharoni" panose="020B0604020202020204" pitchFamily="2" charset="-79"/>
                <a:cs typeface="Aharoni" panose="020B0604020202020204" pitchFamily="2" charset="-79"/>
              </a:rPr>
              <a:t>Ventas por mes</a:t>
            </a:r>
          </a:p>
        </xdr:txBody>
      </xdr:sp>
      <xdr:graphicFrame macro="">
        <xdr:nvGraphicFramePr>
          <xdr:cNvPr id="71" name="Gráfico 70">
            <a:extLst>
              <a:ext uri="{FF2B5EF4-FFF2-40B4-BE49-F238E27FC236}">
                <a16:creationId xmlns:a16="http://schemas.microsoft.com/office/drawing/2014/main" id="{AEECC2BD-4BC7-4603-BB09-299B43B0486D}"/>
              </a:ext>
            </a:extLst>
          </xdr:cNvPr>
          <xdr:cNvGraphicFramePr>
            <a:graphicFrameLocks/>
          </xdr:cNvGraphicFramePr>
        </xdr:nvGraphicFramePr>
        <xdr:xfrm>
          <a:off x="210203" y="6771630"/>
          <a:ext cx="8598477" cy="32760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17</xdr:col>
      <xdr:colOff>574715</xdr:colOff>
      <xdr:row>10</xdr:row>
      <xdr:rowOff>83102</xdr:rowOff>
    </xdr:from>
    <xdr:to>
      <xdr:col>22</xdr:col>
      <xdr:colOff>676754</xdr:colOff>
      <xdr:row>21</xdr:row>
      <xdr:rowOff>11295</xdr:rowOff>
    </xdr:to>
    <xdr:grpSp>
      <xdr:nvGrpSpPr>
        <xdr:cNvPr id="101" name="Grupo 100">
          <a:extLst>
            <a:ext uri="{FF2B5EF4-FFF2-40B4-BE49-F238E27FC236}">
              <a16:creationId xmlns:a16="http://schemas.microsoft.com/office/drawing/2014/main" id="{28A1D503-9FD9-40FC-AD12-A0393DDEBC53}"/>
            </a:ext>
          </a:extLst>
        </xdr:cNvPr>
        <xdr:cNvGrpSpPr/>
      </xdr:nvGrpSpPr>
      <xdr:grpSpPr>
        <a:xfrm>
          <a:off x="13531890" y="1655101"/>
          <a:ext cx="3905689" cy="1647548"/>
          <a:chOff x="14174403" y="2087656"/>
          <a:chExt cx="4297446" cy="1861208"/>
        </a:xfrm>
      </xdr:grpSpPr>
      <xdr:grpSp>
        <xdr:nvGrpSpPr>
          <xdr:cNvPr id="50" name="Grupo 49">
            <a:extLst>
              <a:ext uri="{FF2B5EF4-FFF2-40B4-BE49-F238E27FC236}">
                <a16:creationId xmlns:a16="http://schemas.microsoft.com/office/drawing/2014/main" id="{C46FAC9C-0F07-40B0-8741-6DF9C7D3257D}"/>
              </a:ext>
            </a:extLst>
          </xdr:cNvPr>
          <xdr:cNvGrpSpPr/>
        </xdr:nvGrpSpPr>
        <xdr:grpSpPr>
          <a:xfrm>
            <a:off x="14174403" y="2087656"/>
            <a:ext cx="4297446" cy="1861208"/>
            <a:chOff x="354013" y="2742473"/>
            <a:chExt cx="7947476" cy="4216525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51" name="Rectángulo: esquinas redondeadas 50">
              <a:extLst>
                <a:ext uri="{FF2B5EF4-FFF2-40B4-BE49-F238E27FC236}">
                  <a16:creationId xmlns:a16="http://schemas.microsoft.com/office/drawing/2014/main" id="{A9CFA3B7-7AC9-4F8C-A0DE-2F23D9689F6E}"/>
                </a:ext>
              </a:extLst>
            </xdr:cNvPr>
            <xdr:cNvSpPr/>
          </xdr:nvSpPr>
          <xdr:spPr>
            <a:xfrm>
              <a:off x="354013" y="2745559"/>
              <a:ext cx="7937157" cy="4213439"/>
            </a:xfrm>
            <a:prstGeom prst="round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52" name="Rectángulo: esquinas redondeadas 51">
              <a:extLst>
                <a:ext uri="{FF2B5EF4-FFF2-40B4-BE49-F238E27FC236}">
                  <a16:creationId xmlns:a16="http://schemas.microsoft.com/office/drawing/2014/main" id="{29A1DCC5-ED42-41BE-91A4-5E8E3726FBD5}"/>
                </a:ext>
              </a:extLst>
            </xdr:cNvPr>
            <xdr:cNvSpPr/>
          </xdr:nvSpPr>
          <xdr:spPr>
            <a:xfrm>
              <a:off x="354941" y="2742473"/>
              <a:ext cx="7946548" cy="539325"/>
            </a:xfrm>
            <a:prstGeom prst="roundRect">
              <a:avLst>
                <a:gd name="adj" fmla="val 22501"/>
              </a:avLst>
            </a:prstGeom>
            <a:solidFill>
              <a:srgbClr val="003F5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53" name="Rectángulo 52">
              <a:extLst>
                <a:ext uri="{FF2B5EF4-FFF2-40B4-BE49-F238E27FC236}">
                  <a16:creationId xmlns:a16="http://schemas.microsoft.com/office/drawing/2014/main" id="{B969AAC4-C5F7-4AB7-A3B4-058A64F7EE7C}"/>
                </a:ext>
              </a:extLst>
            </xdr:cNvPr>
            <xdr:cNvSpPr/>
          </xdr:nvSpPr>
          <xdr:spPr>
            <a:xfrm>
              <a:off x="354693" y="3098548"/>
              <a:ext cx="7946507" cy="351490"/>
            </a:xfrm>
            <a:prstGeom prst="rect">
              <a:avLst/>
            </a:prstGeom>
            <a:solidFill>
              <a:srgbClr val="003F5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</xdr:grpSp>
      <xdr:sp macro="" textlink="">
        <xdr:nvSpPr>
          <xdr:cNvPr id="66" name="CuadroTexto 65">
            <a:extLst>
              <a:ext uri="{FF2B5EF4-FFF2-40B4-BE49-F238E27FC236}">
                <a16:creationId xmlns:a16="http://schemas.microsoft.com/office/drawing/2014/main" id="{C13AA782-B342-4E40-B071-B8342A2DD45E}"/>
              </a:ext>
            </a:extLst>
          </xdr:cNvPr>
          <xdr:cNvSpPr txBox="1"/>
        </xdr:nvSpPr>
        <xdr:spPr>
          <a:xfrm>
            <a:off x="14451398" y="2087656"/>
            <a:ext cx="3752694" cy="36207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800" b="1">
                <a:solidFill>
                  <a:schemeClr val="bg1"/>
                </a:solidFill>
                <a:latin typeface="Aharoni" panose="020B0604020202020204" pitchFamily="2" charset="-79"/>
                <a:cs typeface="Aharoni" panose="020B0604020202020204" pitchFamily="2" charset="-79"/>
              </a:rPr>
              <a:t>Porcentaje</a:t>
            </a:r>
            <a:r>
              <a:rPr lang="es-MX" sz="1800" b="1" baseline="0">
                <a:solidFill>
                  <a:schemeClr val="bg1"/>
                </a:solidFill>
                <a:latin typeface="Aharoni" panose="020B0604020202020204" pitchFamily="2" charset="-79"/>
                <a:cs typeface="Aharoni" panose="020B0604020202020204" pitchFamily="2" charset="-79"/>
              </a:rPr>
              <a:t> de liquidacion</a:t>
            </a:r>
            <a:endParaRPr lang="es-MX" sz="1800" b="1">
              <a:solidFill>
                <a:schemeClr val="bg1"/>
              </a:solidFill>
              <a:latin typeface="Aharoni" panose="020B0604020202020204" pitchFamily="2" charset="-79"/>
              <a:cs typeface="Aharoni" panose="020B0604020202020204" pitchFamily="2" charset="-79"/>
            </a:endParaRPr>
          </a:p>
        </xdr:txBody>
      </xdr:sp>
      <xdr:graphicFrame macro="">
        <xdr:nvGraphicFramePr>
          <xdr:cNvPr id="72" name="Gráfico 71">
            <a:extLst>
              <a:ext uri="{FF2B5EF4-FFF2-40B4-BE49-F238E27FC236}">
                <a16:creationId xmlns:a16="http://schemas.microsoft.com/office/drawing/2014/main" id="{AD38445E-E7E5-415E-90D3-D00D8FEC9220}"/>
              </a:ext>
            </a:extLst>
          </xdr:cNvPr>
          <xdr:cNvGraphicFramePr>
            <a:graphicFrameLocks/>
          </xdr:cNvGraphicFramePr>
        </xdr:nvGraphicFramePr>
        <xdr:xfrm>
          <a:off x="14228081" y="2437640"/>
          <a:ext cx="4241347" cy="148083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17</xdr:col>
      <xdr:colOff>562883</xdr:colOff>
      <xdr:row>21</xdr:row>
      <xdr:rowOff>49927</xdr:rowOff>
    </xdr:from>
    <xdr:to>
      <xdr:col>22</xdr:col>
      <xdr:colOff>666361</xdr:colOff>
      <xdr:row>32</xdr:row>
      <xdr:rowOff>9185</xdr:rowOff>
    </xdr:to>
    <xdr:grpSp>
      <xdr:nvGrpSpPr>
        <xdr:cNvPr id="102" name="Grupo 101">
          <a:extLst>
            <a:ext uri="{FF2B5EF4-FFF2-40B4-BE49-F238E27FC236}">
              <a16:creationId xmlns:a16="http://schemas.microsoft.com/office/drawing/2014/main" id="{99951425-5D6F-45AE-88ED-A0C88F0FA9A6}"/>
            </a:ext>
          </a:extLst>
        </xdr:cNvPr>
        <xdr:cNvGrpSpPr/>
      </xdr:nvGrpSpPr>
      <xdr:grpSpPr>
        <a:xfrm>
          <a:off x="13513708" y="3341281"/>
          <a:ext cx="3916653" cy="1691314"/>
          <a:chOff x="14163291" y="4064808"/>
          <a:chExt cx="4316496" cy="1889519"/>
        </a:xfrm>
      </xdr:grpSpPr>
      <xdr:grpSp>
        <xdr:nvGrpSpPr>
          <xdr:cNvPr id="59" name="Grupo 58">
            <a:extLst>
              <a:ext uri="{FF2B5EF4-FFF2-40B4-BE49-F238E27FC236}">
                <a16:creationId xmlns:a16="http://schemas.microsoft.com/office/drawing/2014/main" id="{B266803D-1A6E-4584-B0C7-768FE33DBDC0}"/>
              </a:ext>
            </a:extLst>
          </xdr:cNvPr>
          <xdr:cNvGrpSpPr/>
        </xdr:nvGrpSpPr>
        <xdr:grpSpPr>
          <a:xfrm>
            <a:off x="14166466" y="4067983"/>
            <a:ext cx="4313321" cy="1881427"/>
            <a:chOff x="354013" y="2742473"/>
            <a:chExt cx="7947476" cy="4216525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60" name="Rectángulo: esquinas redondeadas 59">
              <a:extLst>
                <a:ext uri="{FF2B5EF4-FFF2-40B4-BE49-F238E27FC236}">
                  <a16:creationId xmlns:a16="http://schemas.microsoft.com/office/drawing/2014/main" id="{165268DF-CED4-4906-8777-AD556BC77570}"/>
                </a:ext>
              </a:extLst>
            </xdr:cNvPr>
            <xdr:cNvSpPr/>
          </xdr:nvSpPr>
          <xdr:spPr>
            <a:xfrm>
              <a:off x="354013" y="2745559"/>
              <a:ext cx="7937157" cy="4213439"/>
            </a:xfrm>
            <a:prstGeom prst="round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61" name="Rectángulo: esquinas redondeadas 60">
              <a:extLst>
                <a:ext uri="{FF2B5EF4-FFF2-40B4-BE49-F238E27FC236}">
                  <a16:creationId xmlns:a16="http://schemas.microsoft.com/office/drawing/2014/main" id="{57E62118-3C25-42A4-81B4-EF5066027AD6}"/>
                </a:ext>
              </a:extLst>
            </xdr:cNvPr>
            <xdr:cNvSpPr/>
          </xdr:nvSpPr>
          <xdr:spPr>
            <a:xfrm>
              <a:off x="354941" y="2742473"/>
              <a:ext cx="7946548" cy="539325"/>
            </a:xfrm>
            <a:prstGeom prst="roundRect">
              <a:avLst>
                <a:gd name="adj" fmla="val 22501"/>
              </a:avLst>
            </a:prstGeom>
            <a:solidFill>
              <a:srgbClr val="003F5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62" name="Rectángulo 61">
              <a:extLst>
                <a:ext uri="{FF2B5EF4-FFF2-40B4-BE49-F238E27FC236}">
                  <a16:creationId xmlns:a16="http://schemas.microsoft.com/office/drawing/2014/main" id="{BAA0E917-EE88-4CE4-B771-1799B76B25E4}"/>
                </a:ext>
              </a:extLst>
            </xdr:cNvPr>
            <xdr:cNvSpPr/>
          </xdr:nvSpPr>
          <xdr:spPr>
            <a:xfrm>
              <a:off x="354693" y="3098548"/>
              <a:ext cx="7946507" cy="351490"/>
            </a:xfrm>
            <a:prstGeom prst="rect">
              <a:avLst/>
            </a:prstGeom>
            <a:solidFill>
              <a:srgbClr val="003F5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</xdr:grpSp>
      <xdr:sp macro="" textlink="">
        <xdr:nvSpPr>
          <xdr:cNvPr id="67" name="CuadroTexto 66">
            <a:extLst>
              <a:ext uri="{FF2B5EF4-FFF2-40B4-BE49-F238E27FC236}">
                <a16:creationId xmlns:a16="http://schemas.microsoft.com/office/drawing/2014/main" id="{FCF87A8E-ACF9-4B95-A009-385AB2041640}"/>
              </a:ext>
            </a:extLst>
          </xdr:cNvPr>
          <xdr:cNvSpPr txBox="1"/>
        </xdr:nvSpPr>
        <xdr:spPr>
          <a:xfrm>
            <a:off x="14313163" y="4064808"/>
            <a:ext cx="4019926" cy="357977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800" b="1">
                <a:solidFill>
                  <a:schemeClr val="bg1"/>
                </a:solidFill>
                <a:latin typeface="Aharoni" panose="020B0604020202020204" pitchFamily="2" charset="-79"/>
                <a:cs typeface="Aharoni" panose="020B0604020202020204" pitchFamily="2" charset="-79"/>
              </a:rPr>
              <a:t>Distribucion de horarios</a:t>
            </a:r>
          </a:p>
        </xdr:txBody>
      </xdr:sp>
      <xdr:graphicFrame macro="">
        <xdr:nvGraphicFramePr>
          <xdr:cNvPr id="73" name="Gráfico 72">
            <a:extLst>
              <a:ext uri="{FF2B5EF4-FFF2-40B4-BE49-F238E27FC236}">
                <a16:creationId xmlns:a16="http://schemas.microsoft.com/office/drawing/2014/main" id="{484025A4-5642-4E29-8095-6A1B54B818C3}"/>
              </a:ext>
            </a:extLst>
          </xdr:cNvPr>
          <xdr:cNvGraphicFramePr>
            <a:graphicFrameLocks/>
          </xdr:cNvGraphicFramePr>
        </xdr:nvGraphicFramePr>
        <xdr:xfrm>
          <a:off x="14213114" y="4385503"/>
          <a:ext cx="4191001" cy="15688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11</xdr:col>
      <xdr:colOff>380409</xdr:colOff>
      <xdr:row>32</xdr:row>
      <xdr:rowOff>130303</xdr:rowOff>
    </xdr:from>
    <xdr:to>
      <xdr:col>22</xdr:col>
      <xdr:colOff>704476</xdr:colOff>
      <xdr:row>56</xdr:row>
      <xdr:rowOff>84997</xdr:rowOff>
    </xdr:to>
    <xdr:grpSp>
      <xdr:nvGrpSpPr>
        <xdr:cNvPr id="103" name="Grupo 102">
          <a:extLst>
            <a:ext uri="{FF2B5EF4-FFF2-40B4-BE49-F238E27FC236}">
              <a16:creationId xmlns:a16="http://schemas.microsoft.com/office/drawing/2014/main" id="{94A066B7-D0F5-427D-AEC9-64FFCAC6FB04}"/>
            </a:ext>
          </a:extLst>
        </xdr:cNvPr>
        <xdr:cNvGrpSpPr/>
      </xdr:nvGrpSpPr>
      <xdr:grpSpPr>
        <a:xfrm>
          <a:off x="8762409" y="5150538"/>
          <a:ext cx="8706067" cy="3723046"/>
          <a:chOff x="9495459" y="6078926"/>
          <a:chExt cx="9052181" cy="4206420"/>
        </a:xfrm>
      </xdr:grpSpPr>
      <xdr:grpSp>
        <xdr:nvGrpSpPr>
          <xdr:cNvPr id="54" name="Grupo 53">
            <a:extLst>
              <a:ext uri="{FF2B5EF4-FFF2-40B4-BE49-F238E27FC236}">
                <a16:creationId xmlns:a16="http://schemas.microsoft.com/office/drawing/2014/main" id="{170F4560-3F4C-478A-BF0F-B8BB5D035CD9}"/>
              </a:ext>
            </a:extLst>
          </xdr:cNvPr>
          <xdr:cNvGrpSpPr/>
        </xdr:nvGrpSpPr>
        <xdr:grpSpPr>
          <a:xfrm>
            <a:off x="9498634" y="6078926"/>
            <a:ext cx="9045831" cy="4167473"/>
            <a:chOff x="354013" y="2742473"/>
            <a:chExt cx="7947476" cy="4216525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55" name="Rectángulo: esquinas redondeadas 54">
              <a:extLst>
                <a:ext uri="{FF2B5EF4-FFF2-40B4-BE49-F238E27FC236}">
                  <a16:creationId xmlns:a16="http://schemas.microsoft.com/office/drawing/2014/main" id="{AE0D69E7-4F82-4160-8499-9C8BC60AD102}"/>
                </a:ext>
              </a:extLst>
            </xdr:cNvPr>
            <xdr:cNvSpPr/>
          </xdr:nvSpPr>
          <xdr:spPr>
            <a:xfrm>
              <a:off x="354013" y="2745559"/>
              <a:ext cx="7937157" cy="4213439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56" name="Rectángulo: esquinas redondeadas 55">
              <a:extLst>
                <a:ext uri="{FF2B5EF4-FFF2-40B4-BE49-F238E27FC236}">
                  <a16:creationId xmlns:a16="http://schemas.microsoft.com/office/drawing/2014/main" id="{C00D81FA-0211-42E7-9247-B214C4944529}"/>
                </a:ext>
              </a:extLst>
            </xdr:cNvPr>
            <xdr:cNvSpPr/>
          </xdr:nvSpPr>
          <xdr:spPr>
            <a:xfrm>
              <a:off x="354941" y="2742473"/>
              <a:ext cx="7946548" cy="539325"/>
            </a:xfrm>
            <a:prstGeom prst="roundRect">
              <a:avLst>
                <a:gd name="adj" fmla="val 22501"/>
              </a:avLst>
            </a:prstGeom>
            <a:solidFill>
              <a:srgbClr val="003F5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57" name="Rectángulo 56">
              <a:extLst>
                <a:ext uri="{FF2B5EF4-FFF2-40B4-BE49-F238E27FC236}">
                  <a16:creationId xmlns:a16="http://schemas.microsoft.com/office/drawing/2014/main" id="{3C1689FF-BAC9-43D3-ABD6-B2FCD99F87B8}"/>
                </a:ext>
              </a:extLst>
            </xdr:cNvPr>
            <xdr:cNvSpPr/>
          </xdr:nvSpPr>
          <xdr:spPr>
            <a:xfrm>
              <a:off x="354693" y="3098548"/>
              <a:ext cx="7946507" cy="351490"/>
            </a:xfrm>
            <a:prstGeom prst="rect">
              <a:avLst/>
            </a:prstGeom>
            <a:solidFill>
              <a:srgbClr val="003F5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</xdr:grpSp>
      <xdr:sp macro="" textlink="">
        <xdr:nvSpPr>
          <xdr:cNvPr id="68" name="CuadroTexto 67">
            <a:extLst>
              <a:ext uri="{FF2B5EF4-FFF2-40B4-BE49-F238E27FC236}">
                <a16:creationId xmlns:a16="http://schemas.microsoft.com/office/drawing/2014/main" id="{FA935850-9D42-4776-A97B-E8B17BCBA1BE}"/>
              </a:ext>
            </a:extLst>
          </xdr:cNvPr>
          <xdr:cNvSpPr txBox="1"/>
        </xdr:nvSpPr>
        <xdr:spPr>
          <a:xfrm>
            <a:off x="11666582" y="6301855"/>
            <a:ext cx="4401666" cy="362076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2400" b="1">
                <a:solidFill>
                  <a:schemeClr val="bg1"/>
                </a:solidFill>
                <a:latin typeface="Aharoni" panose="020B0604020202020204" pitchFamily="2" charset="-79"/>
                <a:cs typeface="Aharoni" panose="020B0604020202020204" pitchFamily="2" charset="-79"/>
              </a:rPr>
              <a:t>Cursos vendidos</a:t>
            </a:r>
          </a:p>
        </xdr:txBody>
      </xdr:sp>
      <xdr:graphicFrame macro="">
        <xdr:nvGraphicFramePr>
          <xdr:cNvPr id="74" name="Gráfico 73">
            <a:extLst>
              <a:ext uri="{FF2B5EF4-FFF2-40B4-BE49-F238E27FC236}">
                <a16:creationId xmlns:a16="http://schemas.microsoft.com/office/drawing/2014/main" id="{C26367A7-1BC6-4B5B-B792-54CC78C6EA83}"/>
              </a:ext>
            </a:extLst>
          </xdr:cNvPr>
          <xdr:cNvGraphicFramePr>
            <a:graphicFrameLocks/>
          </xdr:cNvGraphicFramePr>
        </xdr:nvGraphicFramePr>
        <xdr:xfrm>
          <a:off x="9685112" y="6730495"/>
          <a:ext cx="8534852" cy="35548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0</xdr:col>
      <xdr:colOff>190500</xdr:colOff>
      <xdr:row>5</xdr:row>
      <xdr:rowOff>53426</xdr:rowOff>
    </xdr:from>
    <xdr:to>
      <xdr:col>6</xdr:col>
      <xdr:colOff>275890</xdr:colOff>
      <xdr:row>9</xdr:row>
      <xdr:rowOff>146688</xdr:rowOff>
    </xdr:to>
    <xdr:grpSp>
      <xdr:nvGrpSpPr>
        <xdr:cNvPr id="75" name="Grupo 74">
          <a:extLst>
            <a:ext uri="{FF2B5EF4-FFF2-40B4-BE49-F238E27FC236}">
              <a16:creationId xmlns:a16="http://schemas.microsoft.com/office/drawing/2014/main" id="{19ED1A76-5449-4537-92E1-FF097A2BFF5D}"/>
            </a:ext>
          </a:extLst>
        </xdr:cNvPr>
        <xdr:cNvGrpSpPr/>
      </xdr:nvGrpSpPr>
      <xdr:grpSpPr>
        <a:xfrm>
          <a:off x="190500" y="834663"/>
          <a:ext cx="4660565" cy="720791"/>
          <a:chOff x="134917" y="690534"/>
          <a:chExt cx="3000027" cy="901101"/>
        </a:xfrm>
      </xdr:grpSpPr>
      <xdr:sp macro="" textlink="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4F99778C-30BC-45C8-9475-6325444578D0}"/>
              </a:ext>
            </a:extLst>
          </xdr:cNvPr>
          <xdr:cNvSpPr/>
        </xdr:nvSpPr>
        <xdr:spPr>
          <a:xfrm>
            <a:off x="202406" y="690534"/>
            <a:ext cx="2932538" cy="901101"/>
          </a:xfrm>
          <a:prstGeom prst="roundRect">
            <a:avLst/>
          </a:prstGeom>
          <a:solidFill>
            <a:schemeClr val="tx1"/>
          </a:solidFill>
          <a:ln w="38100">
            <a:solidFill>
              <a:srgbClr val="003F5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pic>
        <xdr:nvPicPr>
          <xdr:cNvPr id="32" name="Gráfico 31" descr="Dólar con relleno sólido">
            <a:extLst>
              <a:ext uri="{FF2B5EF4-FFF2-40B4-BE49-F238E27FC236}">
                <a16:creationId xmlns:a16="http://schemas.microsoft.com/office/drawing/2014/main" id="{5DD4F7EF-00FB-4ECE-B8D4-F02A64E3AE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34917" y="804797"/>
            <a:ext cx="647757" cy="646003"/>
          </a:xfrm>
          <a:prstGeom prst="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86" name="CuadroTexto 85">
            <a:extLst>
              <a:ext uri="{FF2B5EF4-FFF2-40B4-BE49-F238E27FC236}">
                <a16:creationId xmlns:a16="http://schemas.microsoft.com/office/drawing/2014/main" id="{541D925D-358E-4673-9E64-B0931CD993FE}"/>
              </a:ext>
            </a:extLst>
          </xdr:cNvPr>
          <xdr:cNvSpPr txBox="1"/>
        </xdr:nvSpPr>
        <xdr:spPr>
          <a:xfrm>
            <a:off x="866257" y="1187722"/>
            <a:ext cx="1752952" cy="384405"/>
          </a:xfrm>
          <a:prstGeom prst="rect">
            <a:avLst/>
          </a:prstGeom>
          <a:noFill/>
          <a:ln w="9525" cmpd="sng"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600" b="1">
                <a:solidFill>
                  <a:schemeClr val="bg1"/>
                </a:solidFill>
                <a:latin typeface="Aharoni" panose="020B0604020202020204" pitchFamily="2" charset="-79"/>
                <a:cs typeface="Aharoni" panose="020B0604020202020204" pitchFamily="2" charset="-79"/>
              </a:rPr>
              <a:t>Ganancia total</a:t>
            </a:r>
          </a:p>
        </xdr:txBody>
      </xdr:sp>
      <xdr:sp macro="" textlink="Analisis!B11">
        <xdr:nvSpPr>
          <xdr:cNvPr id="76" name="CuadroTexto 75">
            <a:extLst>
              <a:ext uri="{FF2B5EF4-FFF2-40B4-BE49-F238E27FC236}">
                <a16:creationId xmlns:a16="http://schemas.microsoft.com/office/drawing/2014/main" id="{F4D5A6CF-736B-4D75-809A-CB39A2E58589}"/>
              </a:ext>
            </a:extLst>
          </xdr:cNvPr>
          <xdr:cNvSpPr txBox="1"/>
        </xdr:nvSpPr>
        <xdr:spPr>
          <a:xfrm>
            <a:off x="674625" y="737795"/>
            <a:ext cx="2105025" cy="531586"/>
          </a:xfrm>
          <a:prstGeom prst="rect">
            <a:avLst/>
          </a:prstGeom>
          <a:noFill/>
          <a:ln w="9525" cmpd="sng"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24E0F29-7FB9-472A-82E5-6EF6D0B4F284}" type="TxLink">
              <a:rPr lang="en-US" sz="3200" b="0" i="0" u="none" strike="noStrike">
                <a:solidFill>
                  <a:schemeClr val="bg1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 $82,605.00 </a:t>
            </a:fld>
            <a:endParaRPr lang="en-US" sz="960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endParaRPr>
          </a:p>
        </xdr:txBody>
      </xdr:sp>
    </xdr:grpSp>
    <xdr:clientData/>
  </xdr:twoCellAnchor>
  <xdr:twoCellAnchor>
    <xdr:from>
      <xdr:col>8</xdr:col>
      <xdr:colOff>600497</xdr:colOff>
      <xdr:row>5</xdr:row>
      <xdr:rowOff>55193</xdr:rowOff>
    </xdr:from>
    <xdr:to>
      <xdr:col>14</xdr:col>
      <xdr:colOff>582707</xdr:colOff>
      <xdr:row>9</xdr:row>
      <xdr:rowOff>142503</xdr:rowOff>
    </xdr:to>
    <xdr:grpSp>
      <xdr:nvGrpSpPr>
        <xdr:cNvPr id="89" name="Grupo 88">
          <a:extLst>
            <a:ext uri="{FF2B5EF4-FFF2-40B4-BE49-F238E27FC236}">
              <a16:creationId xmlns:a16="http://schemas.microsoft.com/office/drawing/2014/main" id="{32579102-B9BF-4A40-A33C-574FFAC2E35D}"/>
            </a:ext>
          </a:extLst>
        </xdr:cNvPr>
        <xdr:cNvGrpSpPr/>
      </xdr:nvGrpSpPr>
      <xdr:grpSpPr>
        <a:xfrm>
          <a:off x="6693322" y="839605"/>
          <a:ext cx="4554210" cy="718014"/>
          <a:chOff x="3342456" y="692300"/>
          <a:chExt cx="2944113" cy="900743"/>
        </a:xfrm>
      </xdr:grpSpPr>
      <xdr:sp macro="" textlink="">
        <xdr:nvSpPr>
          <xdr:cNvPr id="8" name="Rectángulo: esquinas redondeadas 7">
            <a:extLst>
              <a:ext uri="{FF2B5EF4-FFF2-40B4-BE49-F238E27FC236}">
                <a16:creationId xmlns:a16="http://schemas.microsoft.com/office/drawing/2014/main" id="{34DE563E-C85E-4AE6-BAFE-67011762E768}"/>
              </a:ext>
            </a:extLst>
          </xdr:cNvPr>
          <xdr:cNvSpPr/>
        </xdr:nvSpPr>
        <xdr:spPr>
          <a:xfrm>
            <a:off x="3342456" y="692300"/>
            <a:ext cx="2944113" cy="900743"/>
          </a:xfrm>
          <a:prstGeom prst="roundRect">
            <a:avLst/>
          </a:prstGeom>
          <a:solidFill>
            <a:schemeClr val="tx1"/>
          </a:solidFill>
          <a:ln w="38100">
            <a:solidFill>
              <a:srgbClr val="003F5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pic>
        <xdr:nvPicPr>
          <xdr:cNvPr id="31" name="Gráfico 30" descr="Banco con relleno sólido">
            <a:extLst>
              <a:ext uri="{FF2B5EF4-FFF2-40B4-BE49-F238E27FC236}">
                <a16:creationId xmlns:a16="http://schemas.microsoft.com/office/drawing/2014/main" id="{A3D704B9-2D56-490D-ABA9-5C02D9081A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02805" y="805052"/>
            <a:ext cx="635057" cy="642396"/>
          </a:xfrm>
          <a:prstGeom prst="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  <xdr:sp macro="" textlink="Analisis!Q10">
        <xdr:nvSpPr>
          <xdr:cNvPr id="81" name="CuadroTexto 80">
            <a:extLst>
              <a:ext uri="{FF2B5EF4-FFF2-40B4-BE49-F238E27FC236}">
                <a16:creationId xmlns:a16="http://schemas.microsoft.com/office/drawing/2014/main" id="{E5857946-9C5C-49CD-A812-9A1EDEBAC7FE}"/>
              </a:ext>
            </a:extLst>
          </xdr:cNvPr>
          <xdr:cNvSpPr txBox="1"/>
        </xdr:nvSpPr>
        <xdr:spPr>
          <a:xfrm>
            <a:off x="3987800" y="813252"/>
            <a:ext cx="2108200" cy="5379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BAC4C25B-0E96-4381-B707-E0E28F624E10}" type="TxLink">
              <a:rPr lang="en-US" sz="2800" b="0" i="0" u="none" strike="noStrike">
                <a:solidFill>
                  <a:schemeClr val="bg1"/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rPr>
              <a:pPr marL="0" indent="0" algn="ctr"/>
              <a:t>20</a:t>
            </a:fld>
            <a:endParaRPr lang="en-US" sz="2800" b="0" i="0" u="none" strike="noStrike">
              <a:solidFill>
                <a:schemeClr val="bg1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endParaRPr>
          </a:p>
        </xdr:txBody>
      </xdr:sp>
      <xdr:sp macro="" textlink="">
        <xdr:nvSpPr>
          <xdr:cNvPr id="87" name="CuadroTexto 86">
            <a:extLst>
              <a:ext uri="{FF2B5EF4-FFF2-40B4-BE49-F238E27FC236}">
                <a16:creationId xmlns:a16="http://schemas.microsoft.com/office/drawing/2014/main" id="{82666D2E-6203-4A0A-A461-8453E39A06D4}"/>
              </a:ext>
            </a:extLst>
          </xdr:cNvPr>
          <xdr:cNvSpPr txBox="1"/>
        </xdr:nvSpPr>
        <xdr:spPr>
          <a:xfrm>
            <a:off x="4201162" y="1190897"/>
            <a:ext cx="1752952" cy="38440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600" b="1">
                <a:solidFill>
                  <a:schemeClr val="bg1"/>
                </a:solidFill>
                <a:latin typeface="Aharoni" panose="020B0604020202020204" pitchFamily="2" charset="-79"/>
                <a:cs typeface="Aharoni" panose="020B0604020202020204" pitchFamily="2" charset="-79"/>
              </a:rPr>
              <a:t>Cursos vendidos</a:t>
            </a:r>
          </a:p>
        </xdr:txBody>
      </xdr:sp>
    </xdr:grpSp>
    <xdr:clientData/>
  </xdr:twoCellAnchor>
  <xdr:twoCellAnchor>
    <xdr:from>
      <xdr:col>17</xdr:col>
      <xdr:colOff>95932</xdr:colOff>
      <xdr:row>4</xdr:row>
      <xdr:rowOff>153350</xdr:rowOff>
    </xdr:from>
    <xdr:to>
      <xdr:col>23</xdr:col>
      <xdr:colOff>30708</xdr:colOff>
      <xdr:row>9</xdr:row>
      <xdr:rowOff>107248</xdr:rowOff>
    </xdr:to>
    <xdr:grpSp>
      <xdr:nvGrpSpPr>
        <xdr:cNvPr id="90" name="Grupo 89">
          <a:extLst>
            <a:ext uri="{FF2B5EF4-FFF2-40B4-BE49-F238E27FC236}">
              <a16:creationId xmlns:a16="http://schemas.microsoft.com/office/drawing/2014/main" id="{BE7C235C-D9A5-4D88-90C3-155599AAD165}"/>
            </a:ext>
          </a:extLst>
        </xdr:cNvPr>
        <xdr:cNvGrpSpPr/>
      </xdr:nvGrpSpPr>
      <xdr:grpSpPr>
        <a:xfrm>
          <a:off x="13049932" y="780879"/>
          <a:ext cx="4503601" cy="735135"/>
          <a:chOff x="6503606" y="680746"/>
          <a:chExt cx="2916035" cy="928564"/>
        </a:xfrm>
      </xdr:grpSpPr>
      <xdr:sp macro="" textlink="">
        <xdr:nvSpPr>
          <xdr:cNvPr id="12" name="Rectángulo: esquinas redondeadas 11">
            <a:extLst>
              <a:ext uri="{FF2B5EF4-FFF2-40B4-BE49-F238E27FC236}">
                <a16:creationId xmlns:a16="http://schemas.microsoft.com/office/drawing/2014/main" id="{E5E2BB80-0DD3-4BA7-A08F-ED0A0973634B}"/>
              </a:ext>
            </a:extLst>
          </xdr:cNvPr>
          <xdr:cNvSpPr/>
        </xdr:nvSpPr>
        <xdr:spPr>
          <a:xfrm>
            <a:off x="6503606" y="680746"/>
            <a:ext cx="2916035" cy="923851"/>
          </a:xfrm>
          <a:prstGeom prst="roundRect">
            <a:avLst/>
          </a:prstGeom>
          <a:solidFill>
            <a:schemeClr val="tx1"/>
          </a:solidFill>
          <a:ln w="38100">
            <a:solidFill>
              <a:srgbClr val="003F5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pic>
        <xdr:nvPicPr>
          <xdr:cNvPr id="34" name="Gráfico 33" descr="Crecimiento empresarial con relleno sólido">
            <a:extLst>
              <a:ext uri="{FF2B5EF4-FFF2-40B4-BE49-F238E27FC236}">
                <a16:creationId xmlns:a16="http://schemas.microsoft.com/office/drawing/2014/main" id="{5D975A1B-8074-499A-9820-2C2FD02A90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6648395" y="813808"/>
            <a:ext cx="621581" cy="614958"/>
          </a:xfrm>
          <a:prstGeom prst="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  <xdr:sp macro="" textlink="Analisis!K5">
        <xdr:nvSpPr>
          <xdr:cNvPr id="82" name="CuadroTexto 81">
            <a:extLst>
              <a:ext uri="{FF2B5EF4-FFF2-40B4-BE49-F238E27FC236}">
                <a16:creationId xmlns:a16="http://schemas.microsoft.com/office/drawing/2014/main" id="{BE0B6240-59D7-4ECA-A162-82EAA13C22AA}"/>
              </a:ext>
            </a:extLst>
          </xdr:cNvPr>
          <xdr:cNvSpPr txBox="1"/>
        </xdr:nvSpPr>
        <xdr:spPr>
          <a:xfrm>
            <a:off x="7113561" y="806009"/>
            <a:ext cx="2085675" cy="529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BB0EBCA5-0D38-4BBC-A50E-701DDFE90BCF}" type="TxLink">
              <a:rPr lang="en-US" sz="2800" b="0" i="0" u="none" strike="noStrike">
                <a:solidFill>
                  <a:schemeClr val="bg1"/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rPr>
              <a:pPr marL="0" indent="0" algn="ctr"/>
              <a:t>78.38%</a:t>
            </a:fld>
            <a:endParaRPr lang="en-US" sz="2800" b="0" i="0" u="none" strike="noStrike">
              <a:solidFill>
                <a:schemeClr val="bg1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endParaRPr>
          </a:p>
        </xdr:txBody>
      </xdr:sp>
      <xdr:sp macro="" textlink="">
        <xdr:nvSpPr>
          <xdr:cNvPr id="88" name="CuadroTexto 87">
            <a:extLst>
              <a:ext uri="{FF2B5EF4-FFF2-40B4-BE49-F238E27FC236}">
                <a16:creationId xmlns:a16="http://schemas.microsoft.com/office/drawing/2014/main" id="{F5314BF7-7A4C-4B58-BCF1-B9201DEF9C93}"/>
              </a:ext>
            </a:extLst>
          </xdr:cNvPr>
          <xdr:cNvSpPr txBox="1"/>
        </xdr:nvSpPr>
        <xdr:spPr>
          <a:xfrm>
            <a:off x="7191564" y="1221730"/>
            <a:ext cx="1905368" cy="387580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600" b="1">
                <a:solidFill>
                  <a:schemeClr val="bg1"/>
                </a:solidFill>
                <a:latin typeface="Aharoni" panose="020B0604020202020204" pitchFamily="2" charset="-79"/>
                <a:cs typeface="Aharoni" panose="020B0604020202020204" pitchFamily="2" charset="-79"/>
              </a:rPr>
              <a:t>% de</a:t>
            </a:r>
            <a:r>
              <a:rPr lang="es-MX" sz="1600" b="1" baseline="0">
                <a:solidFill>
                  <a:schemeClr val="bg1"/>
                </a:solidFill>
                <a:latin typeface="Aharoni" panose="020B0604020202020204" pitchFamily="2" charset="-79"/>
                <a:cs typeface="Aharoni" panose="020B0604020202020204" pitchFamily="2" charset="-79"/>
              </a:rPr>
              <a:t> liquidacion</a:t>
            </a:r>
            <a:endParaRPr lang="es-MX" sz="1600" b="1">
              <a:solidFill>
                <a:schemeClr val="bg1"/>
              </a:solidFill>
              <a:latin typeface="Aharoni" panose="020B0604020202020204" pitchFamily="2" charset="-79"/>
              <a:cs typeface="Aharoni" panose="020B0604020202020204" pitchFamily="2" charset="-79"/>
            </a:endParaRPr>
          </a:p>
        </xdr:txBody>
      </xdr:sp>
    </xdr:grpSp>
    <xdr:clientData/>
  </xdr:twoCellAnchor>
  <xdr:twoCellAnchor editAs="oneCell">
    <xdr:from>
      <xdr:col>1</xdr:col>
      <xdr:colOff>66097</xdr:colOff>
      <xdr:row>1</xdr:row>
      <xdr:rowOff>57293</xdr:rowOff>
    </xdr:from>
    <xdr:to>
      <xdr:col>6</xdr:col>
      <xdr:colOff>31461</xdr:colOff>
      <xdr:row>3</xdr:row>
      <xdr:rowOff>141672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3" name="Año">
              <a:extLst>
                <a:ext uri="{FF2B5EF4-FFF2-40B4-BE49-F238E27FC236}">
                  <a16:creationId xmlns:a16="http://schemas.microsoft.com/office/drawing/2014/main" id="{B62DE531-85EE-41B6-95FE-EF9A9F1630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1272" y="214175"/>
              <a:ext cx="3769014" cy="4013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212933</xdr:colOff>
      <xdr:row>1</xdr:row>
      <xdr:rowOff>56369</xdr:rowOff>
    </xdr:from>
    <xdr:to>
      <xdr:col>11</xdr:col>
      <xdr:colOff>517072</xdr:colOff>
      <xdr:row>3</xdr:row>
      <xdr:rowOff>152855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4" name="PAIS">
              <a:extLst>
                <a:ext uri="{FF2B5EF4-FFF2-40B4-BE49-F238E27FC236}">
                  <a16:creationId xmlns:a16="http://schemas.microsoft.com/office/drawing/2014/main" id="{CB6F444F-3DBC-4700-85C2-7686946DB5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I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8108" y="213251"/>
              <a:ext cx="4110964" cy="4102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100853</xdr:colOff>
      <xdr:row>1</xdr:row>
      <xdr:rowOff>44940</xdr:rowOff>
    </xdr:from>
    <xdr:to>
      <xdr:col>6</xdr:col>
      <xdr:colOff>8031</xdr:colOff>
      <xdr:row>3</xdr:row>
      <xdr:rowOff>122359</xdr:rowOff>
    </xdr:to>
    <xdr:sp macro="" textlink="">
      <xdr:nvSpPr>
        <xdr:cNvPr id="91" name="Rectángulo: esquinas redondeadas 90">
          <a:extLst>
            <a:ext uri="{FF2B5EF4-FFF2-40B4-BE49-F238E27FC236}">
              <a16:creationId xmlns:a16="http://schemas.microsoft.com/office/drawing/2014/main" id="{2F17529A-04A5-4027-9E93-772DEE7616DF}"/>
            </a:ext>
          </a:extLst>
        </xdr:cNvPr>
        <xdr:cNvSpPr/>
      </xdr:nvSpPr>
      <xdr:spPr>
        <a:xfrm>
          <a:off x="862853" y="201822"/>
          <a:ext cx="3717178" cy="391184"/>
        </a:xfrm>
        <a:prstGeom prst="roundRect">
          <a:avLst/>
        </a:prstGeom>
        <a:noFill/>
        <a:ln w="38100">
          <a:solidFill>
            <a:srgbClr val="003F5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132096</xdr:colOff>
      <xdr:row>1</xdr:row>
      <xdr:rowOff>28104</xdr:rowOff>
    </xdr:from>
    <xdr:to>
      <xdr:col>11</xdr:col>
      <xdr:colOff>571500</xdr:colOff>
      <xdr:row>3</xdr:row>
      <xdr:rowOff>105523</xdr:rowOff>
    </xdr:to>
    <xdr:sp macro="" textlink="">
      <xdr:nvSpPr>
        <xdr:cNvPr id="96" name="Rectángulo: esquinas redondeadas 95">
          <a:extLst>
            <a:ext uri="{FF2B5EF4-FFF2-40B4-BE49-F238E27FC236}">
              <a16:creationId xmlns:a16="http://schemas.microsoft.com/office/drawing/2014/main" id="{42ED755F-DEEE-4342-9218-D11FC609D294}"/>
            </a:ext>
          </a:extLst>
        </xdr:cNvPr>
        <xdr:cNvSpPr/>
      </xdr:nvSpPr>
      <xdr:spPr>
        <a:xfrm>
          <a:off x="4704096" y="191390"/>
          <a:ext cx="4249404" cy="403990"/>
        </a:xfrm>
        <a:prstGeom prst="roundRect">
          <a:avLst/>
        </a:prstGeom>
        <a:noFill/>
        <a:ln w="38100">
          <a:solidFill>
            <a:srgbClr val="003F5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red Aldebaran López Rebelo" refreshedDate="46117.674184027775" createdVersion="7" refreshedVersion="7" minRefreshableVersion="3" recordCount="362" xr:uid="{DF8E4551-4C8B-4DB3-8F4A-BA95C6AC2562}">
  <cacheSource type="worksheet">
    <worksheetSource name="Tabla1"/>
  </cacheSource>
  <cacheFields count="17">
    <cacheField name="COD CURSO" numFmtId="0">
      <sharedItems/>
    </cacheField>
    <cacheField name="CURSO" numFmtId="0">
      <sharedItems count="7">
        <s v="WORD"/>
        <s v="EXCEL"/>
        <s v="ACCESS"/>
        <s v="INTERNET"/>
        <s v="WINDOWS"/>
        <s v="PROGRAMACION"/>
        <s v="DISEÑO"/>
      </sharedItems>
    </cacheField>
    <cacheField name="DURACION" numFmtId="0">
      <sharedItems containsSemiMixedTypes="0" containsString="0" containsNumber="1" containsInteger="1" minValue="10" maxValue="45"/>
    </cacheField>
    <cacheField name="CLIENTE" numFmtId="0">
      <sharedItems/>
    </cacheField>
    <cacheField name="IMPORTE CLIENTE" numFmtId="164">
      <sharedItems containsSemiMixedTypes="0" containsString="0" containsNumber="1" containsInteger="1" minValue="250" maxValue="3375"/>
    </cacheField>
    <cacheField name="PROFESOR" numFmtId="0">
      <sharedItems/>
    </cacheField>
    <cacheField name="IMPORTE PROFESOR" numFmtId="164">
      <sharedItems containsSemiMixedTypes="0" containsString="0" containsNumber="1" containsInteger="1" minValue="120" maxValue="540"/>
    </cacheField>
    <cacheField name="FECHA CURSO" numFmtId="14">
      <sharedItems containsSemiMixedTypes="0" containsNonDate="0" containsDate="1" containsString="0" minDate="2019-01-02T00:00:00" maxDate="2021-12-27T00:00:00"/>
    </cacheField>
    <cacheField name="Mes" numFmtId="14">
      <sharedItems count="12">
        <s v="septiembre"/>
        <s v="agosto"/>
        <s v="marzo"/>
        <s v="enero"/>
        <s v="julio"/>
        <s v="abril"/>
        <s v="octubre"/>
        <s v="febrero"/>
        <s v="diciembre"/>
        <s v="mayo"/>
        <s v="noviembre"/>
        <s v="junio"/>
      </sharedItems>
    </cacheField>
    <cacheField name="Año" numFmtId="0">
      <sharedItems containsSemiMixedTypes="0" containsString="0" containsNumber="1" containsInteger="1" minValue="2019" maxValue="2021" count="3">
        <n v="2021"/>
        <n v="2019"/>
        <n v="2020"/>
      </sharedItems>
    </cacheField>
    <cacheField name="JORNADA CURSO" numFmtId="14">
      <sharedItems count="3">
        <s v="MAÑANA"/>
        <s v="TARDE"/>
        <s v="NOCHE"/>
      </sharedItems>
    </cacheField>
    <cacheField name="COMERCIAL" numFmtId="0">
      <sharedItems/>
    </cacheField>
    <cacheField name="IMPORTE COMERCIAL" numFmtId="164">
      <sharedItems containsSemiMixedTypes="0" containsString="0" containsNumber="1" minValue="12.5" maxValue="506.25"/>
    </cacheField>
    <cacheField name="PAGADO CLIENTE" numFmtId="0">
      <sharedItems count="2">
        <s v="SI"/>
        <s v="NO"/>
      </sharedItems>
    </cacheField>
    <cacheField name="PAIS" numFmtId="0">
      <sharedItems count="3">
        <s v="ESPAÑA"/>
        <s v="ITALIA"/>
        <s v="FRANCIA"/>
      </sharedItems>
    </cacheField>
    <cacheField name="CIUDAD" numFmtId="0">
      <sharedItems/>
    </cacheField>
    <cacheField name="PAGADO COMERCIAL" numFmtId="0">
      <sharedItems/>
    </cacheField>
  </cacheFields>
  <extLst>
    <ext xmlns:x14="http://schemas.microsoft.com/office/spreadsheetml/2009/9/main" uri="{725AE2AE-9491-48be-B2B4-4EB974FC3084}">
      <x14:pivotCacheDefinition pivotCacheId="10985866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s v="COD-001"/>
    <x v="0"/>
    <n v="15"/>
    <s v="CLIENTE-001"/>
    <n v="375"/>
    <s v="PROFESOR-003"/>
    <n v="180"/>
    <d v="2021-09-03T00:00:00"/>
    <x v="0"/>
    <x v="0"/>
    <x v="0"/>
    <s v="COMERCIAL-003"/>
    <n v="26.25"/>
    <x v="0"/>
    <x v="0"/>
    <s v="MADRID"/>
    <s v="SI"/>
  </r>
  <r>
    <s v="COD-002"/>
    <x v="1"/>
    <n v="20"/>
    <s v="CLIENTE-002"/>
    <n v="600"/>
    <s v="PROFESOR-002"/>
    <n v="240"/>
    <d v="2021-09-30T00:00:00"/>
    <x v="0"/>
    <x v="0"/>
    <x v="1"/>
    <s v="COMERCIAL-002"/>
    <n v="48"/>
    <x v="0"/>
    <x v="1"/>
    <s v="ROMA"/>
    <s v="SI"/>
  </r>
  <r>
    <s v="COD-003"/>
    <x v="2"/>
    <n v="18"/>
    <s v="CLIENTE-004"/>
    <n v="720"/>
    <s v="PROFESOR-001"/>
    <n v="216"/>
    <d v="2019-08-04T00:00:00"/>
    <x v="1"/>
    <x v="1"/>
    <x v="0"/>
    <s v="COMERCIAL-004"/>
    <n v="72"/>
    <x v="0"/>
    <x v="0"/>
    <s v="MADRID"/>
    <s v="SI"/>
  </r>
  <r>
    <s v="COD-004"/>
    <x v="0"/>
    <n v="25"/>
    <s v="CLIENTE-003"/>
    <n v="625"/>
    <s v="PROFESOR-004"/>
    <n v="300"/>
    <d v="2019-03-07T00:00:00"/>
    <x v="2"/>
    <x v="1"/>
    <x v="0"/>
    <s v="COMERCIAL-001"/>
    <n v="43.75"/>
    <x v="0"/>
    <x v="1"/>
    <s v="ROMA"/>
    <s v="NO"/>
  </r>
  <r>
    <s v="COD-005"/>
    <x v="0"/>
    <n v="20"/>
    <s v="CLIENTE-005"/>
    <n v="500"/>
    <s v="PROFESOR-005"/>
    <n v="240"/>
    <d v="2021-03-04T00:00:00"/>
    <x v="2"/>
    <x v="0"/>
    <x v="0"/>
    <s v="COMERCIAL-003"/>
    <n v="35"/>
    <x v="1"/>
    <x v="2"/>
    <s v="PARIS"/>
    <s v="NO"/>
  </r>
  <r>
    <s v="COD-006"/>
    <x v="0"/>
    <n v="10"/>
    <s v="CLIENTE-003"/>
    <n v="250"/>
    <s v="PROFESOR-002"/>
    <n v="120"/>
    <d v="2019-01-21T00:00:00"/>
    <x v="3"/>
    <x v="1"/>
    <x v="0"/>
    <s v="COMERCIAL-002"/>
    <n v="17.5"/>
    <x v="1"/>
    <x v="1"/>
    <s v="ROMA"/>
    <s v="SI"/>
  </r>
  <r>
    <s v="COD-007"/>
    <x v="1"/>
    <n v="12"/>
    <s v="CLIENTE-004"/>
    <n v="360"/>
    <s v="PROFESOR-001"/>
    <n v="144"/>
    <d v="2020-07-18T00:00:00"/>
    <x v="4"/>
    <x v="2"/>
    <x v="1"/>
    <s v="COMERCIAL-004"/>
    <n v="28.8"/>
    <x v="1"/>
    <x v="0"/>
    <s v="MADRID"/>
    <s v="SI"/>
  </r>
  <r>
    <s v="COD-008"/>
    <x v="1"/>
    <n v="15"/>
    <s v="CLIENTE-003"/>
    <n v="450"/>
    <s v="PROFESOR-004"/>
    <n v="180"/>
    <d v="2019-04-16T00:00:00"/>
    <x v="5"/>
    <x v="1"/>
    <x v="1"/>
    <s v="COMERCIAL-001"/>
    <n v="36"/>
    <x v="1"/>
    <x v="1"/>
    <s v="ROMA"/>
    <s v="SI"/>
  </r>
  <r>
    <s v="COD-009"/>
    <x v="1"/>
    <n v="20"/>
    <s v="CLIENTE-006"/>
    <n v="600"/>
    <s v="PROFESOR-003"/>
    <n v="240"/>
    <d v="2021-08-06T00:00:00"/>
    <x v="1"/>
    <x v="0"/>
    <x v="1"/>
    <s v="COMERCIAL-002"/>
    <n v="48"/>
    <x v="1"/>
    <x v="2"/>
    <s v="PARIS"/>
    <s v="SI"/>
  </r>
  <r>
    <s v="COD-010"/>
    <x v="3"/>
    <n v="25"/>
    <s v="CLIENTE-004"/>
    <n v="625"/>
    <s v="PROFESOR-002"/>
    <n v="300"/>
    <d v="2021-10-07T00:00:00"/>
    <x v="6"/>
    <x v="0"/>
    <x v="1"/>
    <s v="COMERCIAL-004"/>
    <n v="31.25"/>
    <x v="0"/>
    <x v="0"/>
    <s v="MADRID"/>
    <s v="SI"/>
  </r>
  <r>
    <s v="COD-011"/>
    <x v="4"/>
    <n v="30"/>
    <s v="CLIENTE-007"/>
    <n v="750"/>
    <s v="PROFESOR-001"/>
    <n v="360"/>
    <d v="2020-02-07T00:00:00"/>
    <x v="7"/>
    <x v="2"/>
    <x v="2"/>
    <s v="COMERCIAL-001"/>
    <n v="37.5"/>
    <x v="0"/>
    <x v="0"/>
    <s v="MADRID"/>
    <s v="SI"/>
  </r>
  <r>
    <s v="COD-012"/>
    <x v="4"/>
    <n v="40"/>
    <s v="CLIENTE-005"/>
    <n v="1000"/>
    <s v="PROFESOR-004"/>
    <n v="480"/>
    <d v="2021-03-11T00:00:00"/>
    <x v="2"/>
    <x v="0"/>
    <x v="2"/>
    <s v="COMERCIAL-003"/>
    <n v="50"/>
    <x v="0"/>
    <x v="2"/>
    <s v="PARIS"/>
    <s v="SI"/>
  </r>
  <r>
    <s v="COD-013"/>
    <x v="4"/>
    <n v="35"/>
    <s v="CLIENTE-006"/>
    <n v="875"/>
    <s v="PROFESOR-005"/>
    <n v="420"/>
    <d v="2019-03-19T00:00:00"/>
    <x v="2"/>
    <x v="1"/>
    <x v="2"/>
    <s v="COMERCIAL-002"/>
    <n v="43.75"/>
    <x v="0"/>
    <x v="2"/>
    <s v="PARIS"/>
    <s v="SI"/>
  </r>
  <r>
    <s v="COD-014"/>
    <x v="3"/>
    <n v="45"/>
    <s v="CLIENTE-008"/>
    <n v="1125"/>
    <s v="PROFESOR-002"/>
    <n v="540"/>
    <d v="2019-08-19T00:00:00"/>
    <x v="1"/>
    <x v="1"/>
    <x v="1"/>
    <s v="COMERCIAL-004"/>
    <n v="56.25"/>
    <x v="0"/>
    <x v="0"/>
    <s v="MADRID"/>
    <s v="SI"/>
  </r>
  <r>
    <s v="COD-015"/>
    <x v="5"/>
    <n v="18"/>
    <s v="CLIENTE-003"/>
    <n v="1350"/>
    <s v="PROFESOR-001"/>
    <n v="216"/>
    <d v="2019-09-03T00:00:00"/>
    <x v="0"/>
    <x v="1"/>
    <x v="1"/>
    <s v="COMERCIAL-003"/>
    <n v="202.5"/>
    <x v="0"/>
    <x v="1"/>
    <s v="ROMA"/>
    <s v="SI"/>
  </r>
  <r>
    <s v="COD-016"/>
    <x v="6"/>
    <n v="10"/>
    <s v="CLIENTE-005"/>
    <n v="600"/>
    <s v="PROFESOR-004"/>
    <n v="120"/>
    <d v="2021-04-18T00:00:00"/>
    <x v="5"/>
    <x v="0"/>
    <x v="1"/>
    <s v="COMERCIAL-002"/>
    <n v="72"/>
    <x v="0"/>
    <x v="2"/>
    <s v="PARIS"/>
    <s v="SI"/>
  </r>
  <r>
    <s v="COD-017"/>
    <x v="6"/>
    <n v="12"/>
    <s v="CLIENTE-006"/>
    <n v="720"/>
    <s v="PROFESOR-005"/>
    <n v="144"/>
    <d v="2020-01-05T00:00:00"/>
    <x v="3"/>
    <x v="2"/>
    <x v="1"/>
    <s v="COMERCIAL-004"/>
    <n v="86.4"/>
    <x v="0"/>
    <x v="2"/>
    <s v="PARIS"/>
    <s v="SI"/>
  </r>
  <r>
    <s v="COD-018"/>
    <x v="6"/>
    <n v="15"/>
    <s v="CLIENTE-004"/>
    <n v="900"/>
    <s v="PROFESOR-002"/>
    <n v="180"/>
    <d v="2020-08-21T00:00:00"/>
    <x v="1"/>
    <x v="2"/>
    <x v="2"/>
    <s v="COMERCIAL-001"/>
    <n v="108"/>
    <x v="0"/>
    <x v="0"/>
    <s v="MADRID"/>
    <s v="NO"/>
  </r>
  <r>
    <s v="COD-019"/>
    <x v="2"/>
    <n v="25"/>
    <s v="CLIENTE-007"/>
    <n v="1000"/>
    <s v="PROFESOR-001"/>
    <n v="300"/>
    <d v="2019-12-27T00:00:00"/>
    <x v="8"/>
    <x v="1"/>
    <x v="2"/>
    <s v="COMERCIAL-003"/>
    <n v="100"/>
    <x v="0"/>
    <x v="0"/>
    <s v="MADRID"/>
    <s v="SI"/>
  </r>
  <r>
    <s v="COD-020"/>
    <x v="2"/>
    <n v="15"/>
    <s v="CLIENTE-007"/>
    <n v="600"/>
    <s v="PROFESOR-004"/>
    <n v="180"/>
    <d v="2021-01-29T00:00:00"/>
    <x v="3"/>
    <x v="0"/>
    <x v="2"/>
    <s v="COMERCIAL-002"/>
    <n v="60"/>
    <x v="0"/>
    <x v="0"/>
    <s v="MADRID"/>
    <s v="SI"/>
  </r>
  <r>
    <s v="COD-021"/>
    <x v="2"/>
    <n v="20"/>
    <s v="CLIENTE-006"/>
    <n v="800"/>
    <s v="PROFESOR-003"/>
    <n v="240"/>
    <d v="2020-05-02T00:00:00"/>
    <x v="9"/>
    <x v="2"/>
    <x v="2"/>
    <s v="COMERCIAL-004"/>
    <n v="80"/>
    <x v="0"/>
    <x v="2"/>
    <s v="PARIS"/>
    <s v="SI"/>
  </r>
  <r>
    <s v="COD-022"/>
    <x v="2"/>
    <n v="20"/>
    <s v="CLIENTE-005"/>
    <n v="800"/>
    <s v="PROFESOR-002"/>
    <n v="240"/>
    <d v="2020-04-06T00:00:00"/>
    <x v="5"/>
    <x v="2"/>
    <x v="2"/>
    <s v="COMERCIAL-001"/>
    <n v="80"/>
    <x v="0"/>
    <x v="2"/>
    <s v="PARIS"/>
    <s v="SI"/>
  </r>
  <r>
    <s v="COD-023"/>
    <x v="1"/>
    <n v="30"/>
    <s v="CLIENTE-008"/>
    <n v="900"/>
    <s v="PROFESOR-001"/>
    <n v="360"/>
    <d v="2019-08-28T00:00:00"/>
    <x v="1"/>
    <x v="1"/>
    <x v="1"/>
    <s v="COMERCIAL-002"/>
    <n v="72"/>
    <x v="0"/>
    <x v="0"/>
    <s v="VALENCIA"/>
    <s v="SI"/>
  </r>
  <r>
    <s v="COD-024"/>
    <x v="1"/>
    <n v="35"/>
    <s v="CLIENTE-008"/>
    <n v="1050"/>
    <s v="PROFESOR-001"/>
    <n v="420"/>
    <d v="2019-11-01T00:00:00"/>
    <x v="10"/>
    <x v="1"/>
    <x v="0"/>
    <s v="COMERCIAL-004"/>
    <n v="84"/>
    <x v="0"/>
    <x v="0"/>
    <s v="VALENCIA"/>
    <s v="SI"/>
  </r>
  <r>
    <s v="COD-025"/>
    <x v="1"/>
    <n v="40"/>
    <s v="CLIENTE-007"/>
    <n v="1200"/>
    <s v="PROFESOR-004"/>
    <n v="480"/>
    <d v="2021-03-16T00:00:00"/>
    <x v="2"/>
    <x v="0"/>
    <x v="1"/>
    <s v="COMERCIAL-001"/>
    <n v="96"/>
    <x v="0"/>
    <x v="0"/>
    <s v="VALENCIA"/>
    <s v="NO"/>
  </r>
  <r>
    <s v="COD-026"/>
    <x v="0"/>
    <n v="40"/>
    <s v="CLIENTE-005"/>
    <n v="1000"/>
    <s v="PROFESOR-005"/>
    <n v="480"/>
    <d v="2019-12-24T00:00:00"/>
    <x v="8"/>
    <x v="1"/>
    <x v="0"/>
    <s v="COMERCIAL-003"/>
    <n v="70"/>
    <x v="1"/>
    <x v="2"/>
    <s v="PARIS"/>
    <s v="NO"/>
  </r>
  <r>
    <s v="COD-027"/>
    <x v="0"/>
    <n v="35"/>
    <s v="CLIENTE-003"/>
    <n v="875"/>
    <s v="PROFESOR-002"/>
    <n v="420"/>
    <d v="2020-11-07T00:00:00"/>
    <x v="10"/>
    <x v="2"/>
    <x v="0"/>
    <s v="COMERCIAL-002"/>
    <n v="61.25"/>
    <x v="1"/>
    <x v="1"/>
    <s v="ROMA"/>
    <s v="SI"/>
  </r>
  <r>
    <s v="COD-028"/>
    <x v="0"/>
    <n v="45"/>
    <s v="CLIENTE-005"/>
    <n v="1125"/>
    <s v="PROFESOR-001"/>
    <n v="540"/>
    <d v="2019-05-28T00:00:00"/>
    <x v="9"/>
    <x v="1"/>
    <x v="0"/>
    <s v="COMERCIAL-004"/>
    <n v="78.75"/>
    <x v="1"/>
    <x v="2"/>
    <s v="PARIS"/>
    <s v="SI"/>
  </r>
  <r>
    <s v="COD-029"/>
    <x v="0"/>
    <n v="25"/>
    <s v="CLIENTE-004"/>
    <n v="625"/>
    <s v="PROFESOR-004"/>
    <n v="300"/>
    <d v="2020-02-16T00:00:00"/>
    <x v="7"/>
    <x v="2"/>
    <x v="0"/>
    <s v="COMERCIAL-003"/>
    <n v="43.75"/>
    <x v="1"/>
    <x v="0"/>
    <s v="VALENCIA"/>
    <s v="NO"/>
  </r>
  <r>
    <s v="COD-030"/>
    <x v="1"/>
    <n v="20"/>
    <s v="CLIENTE-003"/>
    <n v="600"/>
    <s v="PROFESOR-003"/>
    <n v="240"/>
    <d v="2019-10-28T00:00:00"/>
    <x v="6"/>
    <x v="1"/>
    <x v="1"/>
    <s v="COMERCIAL-002"/>
    <n v="48"/>
    <x v="0"/>
    <x v="1"/>
    <s v="ROMA"/>
    <s v="SI"/>
  </r>
  <r>
    <s v="COD-031"/>
    <x v="2"/>
    <n v="10"/>
    <s v="CLIENTE-005"/>
    <n v="400"/>
    <s v="PROFESOR-002"/>
    <n v="120"/>
    <d v="2021-05-20T00:00:00"/>
    <x v="9"/>
    <x v="0"/>
    <x v="1"/>
    <s v="COMERCIAL-004"/>
    <n v="40"/>
    <x v="0"/>
    <x v="2"/>
    <s v="MARSELLA"/>
    <s v="SI"/>
  </r>
  <r>
    <s v="COD-032"/>
    <x v="0"/>
    <n v="12"/>
    <s v="CLIENTE-003"/>
    <n v="300"/>
    <s v="PROFESOR-001"/>
    <n v="144"/>
    <d v="2021-09-09T00:00:00"/>
    <x v="0"/>
    <x v="0"/>
    <x v="1"/>
    <s v="COMERCIAL-001"/>
    <n v="21"/>
    <x v="0"/>
    <x v="1"/>
    <s v="ROMA"/>
    <s v="NO"/>
  </r>
  <r>
    <s v="COD-033"/>
    <x v="0"/>
    <n v="15"/>
    <s v="CLIENTE-004"/>
    <n v="375"/>
    <s v="PROFESOR-004"/>
    <n v="180"/>
    <d v="2021-08-03T00:00:00"/>
    <x v="1"/>
    <x v="0"/>
    <x v="1"/>
    <s v="COMERCIAL-002"/>
    <n v="26.25"/>
    <x v="0"/>
    <x v="0"/>
    <s v="VALENCIA"/>
    <s v="SI"/>
  </r>
  <r>
    <s v="COD-034"/>
    <x v="0"/>
    <n v="20"/>
    <s v="CLIENTE-003"/>
    <n v="500"/>
    <s v="PROFESOR-005"/>
    <n v="240"/>
    <d v="2020-07-22T00:00:00"/>
    <x v="4"/>
    <x v="2"/>
    <x v="2"/>
    <s v="COMERCIAL-004"/>
    <n v="35"/>
    <x v="1"/>
    <x v="1"/>
    <s v="ROMA"/>
    <s v="SI"/>
  </r>
  <r>
    <s v="COD-035"/>
    <x v="1"/>
    <n v="25"/>
    <s v="CLIENTE-006"/>
    <n v="750"/>
    <s v="PROFESOR-002"/>
    <n v="300"/>
    <d v="2020-11-14T00:00:00"/>
    <x v="10"/>
    <x v="2"/>
    <x v="2"/>
    <s v="COMERCIAL-001"/>
    <n v="60"/>
    <x v="1"/>
    <x v="2"/>
    <s v="MARSELLA"/>
    <s v="NO"/>
  </r>
  <r>
    <s v="COD-036"/>
    <x v="1"/>
    <n v="30"/>
    <s v="CLIENTE-004"/>
    <n v="900"/>
    <s v="PROFESOR-001"/>
    <n v="360"/>
    <d v="2019-11-08T00:00:00"/>
    <x v="10"/>
    <x v="1"/>
    <x v="2"/>
    <s v="COMERCIAL-003"/>
    <n v="72"/>
    <x v="1"/>
    <x v="0"/>
    <s v="VALENCIA"/>
    <s v="NO"/>
  </r>
  <r>
    <s v="COD-037"/>
    <x v="1"/>
    <n v="40"/>
    <s v="CLIENTE-007"/>
    <n v="1200"/>
    <s v="PROFESOR-004"/>
    <n v="480"/>
    <d v="2019-02-02T00:00:00"/>
    <x v="7"/>
    <x v="1"/>
    <x v="1"/>
    <s v="COMERCIAL-002"/>
    <n v="96"/>
    <x v="0"/>
    <x v="0"/>
    <s v="VALENCIA"/>
    <s v="SI"/>
  </r>
  <r>
    <s v="COD-038"/>
    <x v="3"/>
    <n v="35"/>
    <s v="CLIENTE-005"/>
    <n v="875"/>
    <s v="PROFESOR-005"/>
    <n v="420"/>
    <d v="2021-03-27T00:00:00"/>
    <x v="2"/>
    <x v="0"/>
    <x v="1"/>
    <s v="COMERCIAL-004"/>
    <n v="43.75"/>
    <x v="1"/>
    <x v="2"/>
    <s v="PARIS"/>
    <s v="SI"/>
  </r>
  <r>
    <s v="COD-039"/>
    <x v="4"/>
    <n v="45"/>
    <s v="CLIENTE-006"/>
    <n v="1125"/>
    <s v="PROFESOR-002"/>
    <n v="540"/>
    <d v="2020-08-03T00:00:00"/>
    <x v="1"/>
    <x v="2"/>
    <x v="1"/>
    <s v="COMERCIAL-003"/>
    <n v="56.25"/>
    <x v="0"/>
    <x v="2"/>
    <s v="PARIS"/>
    <s v="NO"/>
  </r>
  <r>
    <s v="COD-040"/>
    <x v="4"/>
    <n v="18"/>
    <s v="CLIENTE-008"/>
    <n v="450"/>
    <s v="PROFESOR-001"/>
    <n v="216"/>
    <d v="2021-06-02T00:00:00"/>
    <x v="11"/>
    <x v="0"/>
    <x v="1"/>
    <s v="COMERCIAL-002"/>
    <n v="22.5"/>
    <x v="0"/>
    <x v="0"/>
    <s v="VALENCIA"/>
    <s v="SI"/>
  </r>
  <r>
    <s v="COD-041"/>
    <x v="4"/>
    <n v="10"/>
    <s v="CLIENTE-003"/>
    <n v="250"/>
    <s v="PROFESOR-003"/>
    <n v="120"/>
    <d v="2021-07-26T00:00:00"/>
    <x v="4"/>
    <x v="0"/>
    <x v="2"/>
    <s v="COMERCIAL-004"/>
    <n v="12.5"/>
    <x v="0"/>
    <x v="1"/>
    <s v="ROMA"/>
    <s v="SI"/>
  </r>
  <r>
    <s v="COD-042"/>
    <x v="3"/>
    <n v="12"/>
    <s v="CLIENTE-005"/>
    <n v="300"/>
    <s v="PROFESOR-002"/>
    <n v="144"/>
    <d v="2021-06-22T00:00:00"/>
    <x v="11"/>
    <x v="0"/>
    <x v="2"/>
    <s v="COMERCIAL-001"/>
    <n v="15"/>
    <x v="0"/>
    <x v="2"/>
    <s v="PARIS"/>
    <s v="SI"/>
  </r>
  <r>
    <s v="COD-043"/>
    <x v="5"/>
    <n v="15"/>
    <s v="CLIENTE-006"/>
    <n v="1125"/>
    <s v="PROFESOR-001"/>
    <n v="180"/>
    <d v="2021-11-04T00:00:00"/>
    <x v="10"/>
    <x v="0"/>
    <x v="2"/>
    <s v="COMERCIAL-003"/>
    <n v="168.75"/>
    <x v="0"/>
    <x v="2"/>
    <s v="MARSELLA"/>
    <s v="SI"/>
  </r>
  <r>
    <s v="COD-044"/>
    <x v="6"/>
    <n v="25"/>
    <s v="CLIENTE-004"/>
    <n v="1500"/>
    <s v="PROFESOR-004"/>
    <n v="300"/>
    <d v="2020-11-12T00:00:00"/>
    <x v="10"/>
    <x v="2"/>
    <x v="2"/>
    <s v="COMERCIAL-002"/>
    <n v="180"/>
    <x v="0"/>
    <x v="0"/>
    <s v="VALENCIA"/>
    <s v="SI"/>
  </r>
  <r>
    <s v="COD-045"/>
    <x v="6"/>
    <n v="15"/>
    <s v="CLIENTE-007"/>
    <n v="900"/>
    <s v="PROFESOR-005"/>
    <n v="180"/>
    <d v="2019-06-30T00:00:00"/>
    <x v="11"/>
    <x v="1"/>
    <x v="2"/>
    <s v="COMERCIAL-004"/>
    <n v="108"/>
    <x v="0"/>
    <x v="0"/>
    <s v="VALENCIA"/>
    <s v="SI"/>
  </r>
  <r>
    <s v="COD-046"/>
    <x v="6"/>
    <n v="10"/>
    <s v="CLIENTE-007"/>
    <n v="600"/>
    <s v="PROFESOR-002"/>
    <n v="120"/>
    <d v="2019-06-12T00:00:00"/>
    <x v="11"/>
    <x v="1"/>
    <x v="1"/>
    <s v="COMERCIAL-001"/>
    <n v="72"/>
    <x v="0"/>
    <x v="0"/>
    <s v="VALENCIA"/>
    <s v="SI"/>
  </r>
  <r>
    <s v="COD-047"/>
    <x v="2"/>
    <n v="12"/>
    <s v="CLIENTE-006"/>
    <n v="480"/>
    <s v="PROFESOR-001"/>
    <n v="144"/>
    <d v="2020-11-25T00:00:00"/>
    <x v="10"/>
    <x v="2"/>
    <x v="2"/>
    <s v="COMERCIAL-002"/>
    <n v="48"/>
    <x v="0"/>
    <x v="2"/>
    <s v="PARIS"/>
    <s v="SI"/>
  </r>
  <r>
    <s v="COD-048"/>
    <x v="2"/>
    <n v="15"/>
    <s v="CLIENTE-005"/>
    <n v="600"/>
    <s v="PROFESOR-004"/>
    <n v="180"/>
    <d v="2019-01-08T00:00:00"/>
    <x v="3"/>
    <x v="1"/>
    <x v="2"/>
    <s v="COMERCIAL-004"/>
    <n v="60"/>
    <x v="0"/>
    <x v="2"/>
    <s v="PARIS"/>
    <s v="SI"/>
  </r>
  <r>
    <s v="COD-049"/>
    <x v="2"/>
    <n v="25"/>
    <s v="CLIENTE-008"/>
    <n v="1000"/>
    <s v="PROFESOR-003"/>
    <n v="300"/>
    <d v="2019-07-01T00:00:00"/>
    <x v="4"/>
    <x v="1"/>
    <x v="2"/>
    <s v="COMERCIAL-001"/>
    <n v="100"/>
    <x v="0"/>
    <x v="0"/>
    <s v="VALLADOLID"/>
    <s v="NO"/>
  </r>
  <r>
    <s v="COD-050"/>
    <x v="2"/>
    <n v="15"/>
    <s v="CLIENTE-001"/>
    <n v="600"/>
    <s v="PROFESOR-002"/>
    <n v="180"/>
    <d v="2021-01-11T00:00:00"/>
    <x v="3"/>
    <x v="0"/>
    <x v="1"/>
    <s v="COMERCIAL-003"/>
    <n v="60"/>
    <x v="0"/>
    <x v="0"/>
    <s v="VALLADOLID"/>
    <s v="NO"/>
  </r>
  <r>
    <s v="COD-051"/>
    <x v="1"/>
    <n v="20"/>
    <s v="CLIENTE-002"/>
    <n v="600"/>
    <s v="PROFESOR-001"/>
    <n v="240"/>
    <d v="2021-09-01T00:00:00"/>
    <x v="0"/>
    <x v="0"/>
    <x v="1"/>
    <s v="COMERCIAL-003"/>
    <n v="48"/>
    <x v="0"/>
    <x v="1"/>
    <s v="MILAN"/>
    <s v="NO"/>
  </r>
  <r>
    <s v="COD-052"/>
    <x v="1"/>
    <n v="20"/>
    <s v="CLIENTE-004"/>
    <n v="600"/>
    <s v="PROFESOR-004"/>
    <n v="240"/>
    <d v="2019-10-02T00:00:00"/>
    <x v="6"/>
    <x v="1"/>
    <x v="1"/>
    <s v="COMERCIAL-002"/>
    <n v="48"/>
    <x v="0"/>
    <x v="0"/>
    <s v="VALLADOLID"/>
    <s v="SI"/>
  </r>
  <r>
    <s v="COD-053"/>
    <x v="1"/>
    <n v="30"/>
    <s v="CLIENTE-003"/>
    <n v="900"/>
    <s v="PROFESOR-005"/>
    <n v="360"/>
    <d v="2019-02-10T00:00:00"/>
    <x v="7"/>
    <x v="1"/>
    <x v="1"/>
    <s v="COMERCIAL-004"/>
    <n v="72"/>
    <x v="0"/>
    <x v="1"/>
    <s v="MILAN"/>
    <s v="SI"/>
  </r>
  <r>
    <s v="COD-054"/>
    <x v="0"/>
    <n v="35"/>
    <s v="CLIENTE-005"/>
    <n v="875"/>
    <s v="PROFESOR-002"/>
    <n v="420"/>
    <d v="2019-09-19T00:00:00"/>
    <x v="0"/>
    <x v="1"/>
    <x v="2"/>
    <s v="COMERCIAL-001"/>
    <n v="61.25"/>
    <x v="1"/>
    <x v="2"/>
    <s v="PARIS"/>
    <s v="NO"/>
  </r>
  <r>
    <s v="COD-055"/>
    <x v="0"/>
    <n v="40"/>
    <s v="CLIENTE-003"/>
    <n v="1000"/>
    <s v="PROFESOR-001"/>
    <n v="480"/>
    <d v="2019-01-02T00:00:00"/>
    <x v="3"/>
    <x v="1"/>
    <x v="2"/>
    <s v="COMERCIAL-002"/>
    <n v="70"/>
    <x v="1"/>
    <x v="1"/>
    <s v="MILAN"/>
    <s v="SI"/>
  </r>
  <r>
    <s v="COD-056"/>
    <x v="0"/>
    <n v="40"/>
    <s v="CLIENTE-004"/>
    <n v="1000"/>
    <s v="PROFESOR-004"/>
    <n v="480"/>
    <d v="2019-12-22T00:00:00"/>
    <x v="8"/>
    <x v="1"/>
    <x v="2"/>
    <s v="COMERCIAL-004"/>
    <n v="70"/>
    <x v="1"/>
    <x v="0"/>
    <s v="VALLADOLID"/>
    <s v="SI"/>
  </r>
  <r>
    <s v="COD-057"/>
    <x v="3"/>
    <n v="35"/>
    <s v="CLIENTE-003"/>
    <n v="875"/>
    <s v="PROFESOR-005"/>
    <n v="420"/>
    <d v="2019-12-18T00:00:00"/>
    <x v="8"/>
    <x v="1"/>
    <x v="2"/>
    <s v="COMERCIAL-001"/>
    <n v="43.75"/>
    <x v="1"/>
    <x v="1"/>
    <s v="ROMA"/>
    <s v="NO"/>
  </r>
  <r>
    <s v="COD-058"/>
    <x v="5"/>
    <n v="45"/>
    <s v="CLIENTE-006"/>
    <n v="3375"/>
    <s v="PROFESOR-002"/>
    <n v="540"/>
    <d v="2021-03-04T00:00:00"/>
    <x v="2"/>
    <x v="0"/>
    <x v="2"/>
    <s v="COMERCIAL-003"/>
    <n v="506.25"/>
    <x v="1"/>
    <x v="2"/>
    <s v="MARSELLA"/>
    <s v="SI"/>
  </r>
  <r>
    <s v="COD-059"/>
    <x v="6"/>
    <n v="25"/>
    <s v="CLIENTE-004"/>
    <n v="1500"/>
    <s v="PROFESOR-001"/>
    <n v="300"/>
    <d v="2019-12-30T00:00:00"/>
    <x v="8"/>
    <x v="1"/>
    <x v="1"/>
    <s v="COMERCIAL-002"/>
    <n v="180"/>
    <x v="1"/>
    <x v="0"/>
    <s v="VALLADOLID"/>
    <s v="SI"/>
  </r>
  <r>
    <s v="COD-060"/>
    <x v="6"/>
    <n v="20"/>
    <s v="CLIENTE-007"/>
    <n v="1200"/>
    <s v="PROFESOR-004"/>
    <n v="240"/>
    <d v="2020-11-09T00:00:00"/>
    <x v="10"/>
    <x v="2"/>
    <x v="0"/>
    <s v="COMERCIAL-004"/>
    <n v="144"/>
    <x v="0"/>
    <x v="0"/>
    <s v="VALLADOLID"/>
    <s v="SI"/>
  </r>
  <r>
    <s v="COD-061"/>
    <x v="6"/>
    <n v="10"/>
    <s v="CLIENTE-005"/>
    <n v="600"/>
    <s v="PROFESOR-003"/>
    <n v="120"/>
    <d v="2019-10-01T00:00:00"/>
    <x v="6"/>
    <x v="1"/>
    <x v="1"/>
    <s v="COMERCIAL-003"/>
    <n v="72"/>
    <x v="1"/>
    <x v="2"/>
    <s v="MARSELLA"/>
    <s v="SI"/>
  </r>
  <r>
    <s v="COD-062"/>
    <x v="2"/>
    <n v="12"/>
    <s v="CLIENTE-006"/>
    <n v="480"/>
    <s v="PROFESOR-002"/>
    <n v="144"/>
    <d v="2021-03-18T00:00:00"/>
    <x v="2"/>
    <x v="0"/>
    <x v="0"/>
    <s v="COMERCIAL-002"/>
    <n v="48"/>
    <x v="1"/>
    <x v="2"/>
    <s v="MARSELLA"/>
    <s v="SI"/>
  </r>
  <r>
    <s v="COD-063"/>
    <x v="2"/>
    <n v="15"/>
    <s v="CLIENTE-008"/>
    <n v="600"/>
    <s v="PROFESOR-001"/>
    <n v="180"/>
    <d v="2019-03-23T00:00:00"/>
    <x v="2"/>
    <x v="1"/>
    <x v="0"/>
    <s v="COMERCIAL-004"/>
    <n v="60"/>
    <x v="0"/>
    <x v="0"/>
    <s v="VALLADOLID"/>
    <s v="SI"/>
  </r>
  <r>
    <s v="COD-064"/>
    <x v="2"/>
    <n v="20"/>
    <s v="CLIENTE-003"/>
    <n v="800"/>
    <s v="PROFESOR-001"/>
    <n v="240"/>
    <d v="2021-04-03T00:00:00"/>
    <x v="5"/>
    <x v="0"/>
    <x v="0"/>
    <s v="COMERCIAL-001"/>
    <n v="80"/>
    <x v="1"/>
    <x v="1"/>
    <s v="MILAN"/>
    <s v="SI"/>
  </r>
  <r>
    <s v="COD-065"/>
    <x v="2"/>
    <n v="25"/>
    <s v="CLIENTE-005"/>
    <n v="1000"/>
    <s v="PROFESOR-004"/>
    <n v="300"/>
    <d v="2019-04-10T00:00:00"/>
    <x v="5"/>
    <x v="1"/>
    <x v="0"/>
    <s v="COMERCIAL-003"/>
    <n v="100"/>
    <x v="0"/>
    <x v="2"/>
    <s v="MARSELLA"/>
    <s v="SI"/>
  </r>
  <r>
    <s v="COD-066"/>
    <x v="1"/>
    <n v="30"/>
    <s v="CLIENTE-006"/>
    <n v="900"/>
    <s v="PROFESOR-005"/>
    <n v="360"/>
    <d v="2020-03-11T00:00:00"/>
    <x v="2"/>
    <x v="2"/>
    <x v="1"/>
    <s v="COMERCIAL-002"/>
    <n v="72"/>
    <x v="0"/>
    <x v="2"/>
    <s v="MARSELLA"/>
    <s v="SI"/>
  </r>
  <r>
    <s v="COD-067"/>
    <x v="1"/>
    <n v="40"/>
    <s v="CLIENTE-004"/>
    <n v="1200"/>
    <s v="PROFESOR-002"/>
    <n v="480"/>
    <d v="2019-10-11T00:00:00"/>
    <x v="6"/>
    <x v="1"/>
    <x v="1"/>
    <s v="COMERCIAL-004"/>
    <n v="96"/>
    <x v="0"/>
    <x v="0"/>
    <s v="VALLADOLID"/>
    <s v="SI"/>
  </r>
  <r>
    <s v="COD-068"/>
    <x v="1"/>
    <n v="35"/>
    <s v="CLIENTE-007"/>
    <n v="1050"/>
    <s v="PROFESOR-001"/>
    <n v="420"/>
    <d v="2020-12-22T00:00:00"/>
    <x v="8"/>
    <x v="2"/>
    <x v="1"/>
    <s v="COMERCIAL-001"/>
    <n v="84"/>
    <x v="0"/>
    <x v="0"/>
    <s v="VALLADOLID"/>
    <s v="SI"/>
  </r>
  <r>
    <s v="COD-069"/>
    <x v="0"/>
    <n v="45"/>
    <s v="CLIENTE-007"/>
    <n v="1125"/>
    <s v="PROFESOR-004"/>
    <n v="540"/>
    <d v="2019-09-15T00:00:00"/>
    <x v="0"/>
    <x v="1"/>
    <x v="1"/>
    <s v="COMERCIAL-002"/>
    <n v="78.75"/>
    <x v="0"/>
    <x v="0"/>
    <s v="VALLADOLID"/>
    <s v="SI"/>
  </r>
  <r>
    <s v="COD-070"/>
    <x v="0"/>
    <n v="18"/>
    <s v="CLIENTE-006"/>
    <n v="450"/>
    <s v="PROFESOR-003"/>
    <n v="216"/>
    <d v="2021-10-02T00:00:00"/>
    <x v="6"/>
    <x v="0"/>
    <x v="2"/>
    <s v="COMERCIAL-004"/>
    <n v="31.5"/>
    <x v="0"/>
    <x v="2"/>
    <s v="MARSELLA"/>
    <s v="SI"/>
  </r>
  <r>
    <s v="COD-071"/>
    <x v="0"/>
    <n v="10"/>
    <s v="CLIENTE-005"/>
    <n v="250"/>
    <s v="PROFESOR-002"/>
    <n v="120"/>
    <d v="2021-05-28T00:00:00"/>
    <x v="9"/>
    <x v="0"/>
    <x v="2"/>
    <s v="COMERCIAL-001"/>
    <n v="17.5"/>
    <x v="0"/>
    <x v="2"/>
    <s v="MARSELLA"/>
    <s v="SI"/>
  </r>
  <r>
    <s v="COD-072"/>
    <x v="0"/>
    <n v="45"/>
    <s v="CLIENTE-008"/>
    <n v="1125"/>
    <s v="PROFESOR-001"/>
    <n v="540"/>
    <d v="2021-08-18T00:00:00"/>
    <x v="1"/>
    <x v="0"/>
    <x v="2"/>
    <s v="COMERCIAL-003"/>
    <n v="78.75"/>
    <x v="0"/>
    <x v="0"/>
    <s v="VALLADOLID"/>
    <s v="SI"/>
  </r>
  <r>
    <s v="COD-073"/>
    <x v="1"/>
    <n v="25"/>
    <s v="CLIENTE-008"/>
    <n v="750"/>
    <s v="PROFESOR-004"/>
    <n v="300"/>
    <d v="2019-05-30T00:00:00"/>
    <x v="9"/>
    <x v="1"/>
    <x v="1"/>
    <s v="COMERCIAL-002"/>
    <n v="60"/>
    <x v="0"/>
    <x v="0"/>
    <s v="VALLADOLID"/>
    <s v="SI"/>
  </r>
  <r>
    <s v="COD-074"/>
    <x v="2"/>
    <n v="20"/>
    <s v="CLIENTE-007"/>
    <n v="800"/>
    <s v="PROFESOR-005"/>
    <n v="240"/>
    <d v="2019-05-21T00:00:00"/>
    <x v="9"/>
    <x v="1"/>
    <x v="1"/>
    <s v="COMERCIAL-004"/>
    <n v="80"/>
    <x v="0"/>
    <x v="0"/>
    <s v="VALLADOLID"/>
    <s v="SI"/>
  </r>
  <r>
    <s v="COD-075"/>
    <x v="0"/>
    <n v="10"/>
    <s v="CLIENTE-005"/>
    <n v="250"/>
    <s v="PROFESOR-002"/>
    <n v="120"/>
    <d v="2019-01-28T00:00:00"/>
    <x v="3"/>
    <x v="1"/>
    <x v="1"/>
    <s v="COMERCIAL-003"/>
    <n v="17.5"/>
    <x v="0"/>
    <x v="2"/>
    <s v="MARSELLA"/>
    <s v="SI"/>
  </r>
  <r>
    <s v="COD-076"/>
    <x v="0"/>
    <n v="12"/>
    <s v="CLIENTE-003"/>
    <n v="300"/>
    <s v="PROFESOR-001"/>
    <n v="144"/>
    <d v="2020-10-10T00:00:00"/>
    <x v="6"/>
    <x v="2"/>
    <x v="1"/>
    <s v="COMERCIAL-002"/>
    <n v="21"/>
    <x v="0"/>
    <x v="1"/>
    <s v="MILAN"/>
    <s v="SI"/>
  </r>
  <r>
    <s v="COD-077"/>
    <x v="0"/>
    <n v="15"/>
    <s v="CLIENTE-005"/>
    <n v="375"/>
    <s v="PROFESOR-004"/>
    <n v="180"/>
    <d v="2021-10-12T00:00:00"/>
    <x v="6"/>
    <x v="0"/>
    <x v="2"/>
    <s v="COMERCIAL-004"/>
    <n v="26.25"/>
    <x v="0"/>
    <x v="2"/>
    <s v="MARSELLA"/>
    <s v="SI"/>
  </r>
  <r>
    <s v="COD-078"/>
    <x v="1"/>
    <n v="20"/>
    <s v="CLIENTE-004"/>
    <n v="600"/>
    <s v="PROFESOR-005"/>
    <n v="240"/>
    <d v="2020-08-31T00:00:00"/>
    <x v="1"/>
    <x v="2"/>
    <x v="0"/>
    <s v="COMERCIAL-001"/>
    <n v="48"/>
    <x v="1"/>
    <x v="0"/>
    <s v="VALLADOLID"/>
    <s v="SI"/>
  </r>
  <r>
    <s v="COD-079"/>
    <x v="1"/>
    <n v="25"/>
    <s v="CLIENTE-003"/>
    <n v="750"/>
    <s v="PROFESOR-002"/>
    <n v="300"/>
    <d v="2021-01-31T00:00:00"/>
    <x v="3"/>
    <x v="0"/>
    <x v="0"/>
    <s v="COMERCIAL-002"/>
    <n v="60"/>
    <x v="1"/>
    <x v="1"/>
    <s v="MILAN"/>
    <s v="SI"/>
  </r>
  <r>
    <s v="COD-080"/>
    <x v="1"/>
    <n v="30"/>
    <s v="CLIENTE-005"/>
    <n v="900"/>
    <s v="PROFESOR-001"/>
    <n v="360"/>
    <d v="2020-02-10T00:00:00"/>
    <x v="7"/>
    <x v="2"/>
    <x v="0"/>
    <s v="COMERCIAL-004"/>
    <n v="72"/>
    <x v="0"/>
    <x v="2"/>
    <s v="MARSELLA"/>
    <s v="SI"/>
  </r>
  <r>
    <s v="COD-081"/>
    <x v="3"/>
    <n v="40"/>
    <s v="CLIENTE-003"/>
    <n v="1000"/>
    <s v="PROFESOR-004"/>
    <n v="480"/>
    <d v="2019-02-27T00:00:00"/>
    <x v="7"/>
    <x v="1"/>
    <x v="0"/>
    <s v="COMERCIAL-001"/>
    <n v="50"/>
    <x v="1"/>
    <x v="1"/>
    <s v="MILAN"/>
    <s v="SI"/>
  </r>
  <r>
    <s v="COD-082"/>
    <x v="4"/>
    <n v="35"/>
    <s v="CLIENTE-004"/>
    <n v="875"/>
    <s v="PROFESOR-005"/>
    <n v="420"/>
    <d v="2021-03-25T00:00:00"/>
    <x v="2"/>
    <x v="0"/>
    <x v="1"/>
    <s v="COMERCIAL-003"/>
    <n v="43.75"/>
    <x v="0"/>
    <x v="0"/>
    <s v="VALLADOLID"/>
    <s v="SI"/>
  </r>
  <r>
    <s v="COD-083"/>
    <x v="4"/>
    <n v="45"/>
    <s v="CLIENTE-003"/>
    <n v="1125"/>
    <s v="PROFESOR-002"/>
    <n v="540"/>
    <d v="2019-05-29T00:00:00"/>
    <x v="9"/>
    <x v="1"/>
    <x v="1"/>
    <s v="COMERCIAL-002"/>
    <n v="56.25"/>
    <x v="0"/>
    <x v="1"/>
    <s v="MILAN"/>
    <s v="SI"/>
  </r>
  <r>
    <s v="COD-084"/>
    <x v="4"/>
    <n v="18"/>
    <s v="CLIENTE-006"/>
    <n v="450"/>
    <s v="PROFESOR-001"/>
    <n v="216"/>
    <d v="2021-01-01T00:00:00"/>
    <x v="3"/>
    <x v="0"/>
    <x v="1"/>
    <s v="COMERCIAL-004"/>
    <n v="22.5"/>
    <x v="0"/>
    <x v="2"/>
    <s v="PARIS"/>
    <s v="SI"/>
  </r>
  <r>
    <s v="COD-085"/>
    <x v="3"/>
    <n v="10"/>
    <s v="CLIENTE-001"/>
    <n v="250"/>
    <s v="PROFESOR-004"/>
    <n v="120"/>
    <d v="2021-05-22T00:00:00"/>
    <x v="9"/>
    <x v="0"/>
    <x v="1"/>
    <s v="COMERCIAL-001"/>
    <n v="12.5"/>
    <x v="0"/>
    <x v="0"/>
    <s v="VALLADOLID"/>
    <s v="NO"/>
  </r>
  <r>
    <s v="COD-086"/>
    <x v="5"/>
    <n v="12"/>
    <s v="CLIENTE-002"/>
    <n v="900"/>
    <s v="PROFESOR-003"/>
    <n v="144"/>
    <d v="2019-08-10T00:00:00"/>
    <x v="1"/>
    <x v="1"/>
    <x v="2"/>
    <s v="COMERCIAL-003"/>
    <n v="135"/>
    <x v="0"/>
    <x v="1"/>
    <s v="MILAN"/>
    <s v="NO"/>
  </r>
  <r>
    <s v="COD-087"/>
    <x v="6"/>
    <n v="15"/>
    <s v="CLIENTE-004"/>
    <n v="900"/>
    <s v="PROFESOR-002"/>
    <n v="180"/>
    <d v="2021-05-07T00:00:00"/>
    <x v="9"/>
    <x v="0"/>
    <x v="2"/>
    <s v="COMERCIAL-002"/>
    <n v="108"/>
    <x v="0"/>
    <x v="0"/>
    <s v="MADRID"/>
    <s v="SI"/>
  </r>
  <r>
    <s v="COD-088"/>
    <x v="6"/>
    <n v="25"/>
    <s v="CLIENTE-003"/>
    <n v="1500"/>
    <s v="PROFESOR-001"/>
    <n v="300"/>
    <d v="2019-04-07T00:00:00"/>
    <x v="5"/>
    <x v="1"/>
    <x v="2"/>
    <s v="COMERCIAL-004"/>
    <n v="180"/>
    <x v="0"/>
    <x v="1"/>
    <s v="MILAN"/>
    <s v="SI"/>
  </r>
  <r>
    <s v="COD-089"/>
    <x v="0"/>
    <n v="15"/>
    <s v="CLIENTE-005"/>
    <n v="375"/>
    <s v="PROFESOR-004"/>
    <n v="180"/>
    <d v="2019-12-04T00:00:00"/>
    <x v="8"/>
    <x v="1"/>
    <x v="1"/>
    <s v="COMERCIAL-001"/>
    <n v="26.25"/>
    <x v="0"/>
    <x v="2"/>
    <s v="PARIS"/>
    <s v="NO"/>
  </r>
  <r>
    <s v="COD-090"/>
    <x v="1"/>
    <n v="10"/>
    <s v="CLIENTE-003"/>
    <n v="300"/>
    <s v="PROFESOR-005"/>
    <n v="120"/>
    <d v="2019-10-21T00:00:00"/>
    <x v="6"/>
    <x v="1"/>
    <x v="1"/>
    <s v="COMERCIAL-002"/>
    <n v="24"/>
    <x v="0"/>
    <x v="1"/>
    <s v="MILAN"/>
    <s v="SI"/>
  </r>
  <r>
    <s v="COD-091"/>
    <x v="1"/>
    <n v="12"/>
    <s v="CLIENTE-004"/>
    <n v="360"/>
    <s v="PROFESOR-002"/>
    <n v="144"/>
    <d v="2019-04-14T00:00:00"/>
    <x v="5"/>
    <x v="1"/>
    <x v="1"/>
    <s v="COMERCIAL-004"/>
    <n v="28.8"/>
    <x v="0"/>
    <x v="0"/>
    <s v="MADRID"/>
    <s v="SI"/>
  </r>
  <r>
    <s v="COD-092"/>
    <x v="1"/>
    <n v="15"/>
    <s v="CLIENTE-003"/>
    <n v="450"/>
    <s v="PROFESOR-001"/>
    <n v="180"/>
    <d v="2020-08-20T00:00:00"/>
    <x v="1"/>
    <x v="2"/>
    <x v="1"/>
    <s v="COMERCIAL-001"/>
    <n v="36"/>
    <x v="0"/>
    <x v="1"/>
    <s v="MILAN"/>
    <s v="NO"/>
  </r>
  <r>
    <s v="COD-093"/>
    <x v="3"/>
    <n v="25"/>
    <s v="CLIENTE-006"/>
    <n v="625"/>
    <s v="PROFESOR-004"/>
    <n v="300"/>
    <d v="2021-08-12T00:00:00"/>
    <x v="1"/>
    <x v="0"/>
    <x v="2"/>
    <s v="COMERCIAL-003"/>
    <n v="31.25"/>
    <x v="0"/>
    <x v="2"/>
    <s v="PARIS"/>
    <s v="NO"/>
  </r>
  <r>
    <s v="COD-094"/>
    <x v="4"/>
    <n v="15"/>
    <s v="CLIENTE-004"/>
    <n v="375"/>
    <s v="PROFESOR-005"/>
    <n v="180"/>
    <d v="2021-02-05T00:00:00"/>
    <x v="7"/>
    <x v="0"/>
    <x v="2"/>
    <s v="COMERCIAL-002"/>
    <n v="18.75"/>
    <x v="0"/>
    <x v="0"/>
    <s v="VALENCIA"/>
    <s v="SI"/>
  </r>
  <r>
    <s v="COD-095"/>
    <x v="4"/>
    <n v="20"/>
    <s v="CLIENTE-007"/>
    <n v="500"/>
    <s v="PROFESOR-002"/>
    <n v="240"/>
    <d v="2020-01-27T00:00:00"/>
    <x v="3"/>
    <x v="2"/>
    <x v="2"/>
    <s v="COMERCIAL-004"/>
    <n v="25"/>
    <x v="0"/>
    <x v="0"/>
    <s v="VALENCIA"/>
    <s v="SI"/>
  </r>
  <r>
    <s v="COD-096"/>
    <x v="4"/>
    <n v="20"/>
    <s v="CLIENTE-005"/>
    <n v="500"/>
    <s v="PROFESOR-001"/>
    <n v="240"/>
    <d v="2020-07-18T00:00:00"/>
    <x v="4"/>
    <x v="2"/>
    <x v="2"/>
    <s v="COMERCIAL-003"/>
    <n v="25"/>
    <x v="1"/>
    <x v="2"/>
    <s v="PARIS"/>
    <s v="NO"/>
  </r>
  <r>
    <s v="COD-097"/>
    <x v="3"/>
    <n v="30"/>
    <s v="CLIENTE-006"/>
    <n v="750"/>
    <s v="PROFESOR-004"/>
    <n v="360"/>
    <d v="2020-07-30T00:00:00"/>
    <x v="4"/>
    <x v="2"/>
    <x v="2"/>
    <s v="COMERCIAL-002"/>
    <n v="37.5"/>
    <x v="1"/>
    <x v="2"/>
    <s v="PARIS"/>
    <s v="SI"/>
  </r>
  <r>
    <s v="COD-098"/>
    <x v="5"/>
    <n v="35"/>
    <s v="CLIENTE-008"/>
    <n v="2625"/>
    <s v="PROFESOR-003"/>
    <n v="420"/>
    <d v="2020-06-14T00:00:00"/>
    <x v="11"/>
    <x v="2"/>
    <x v="1"/>
    <s v="COMERCIAL-004"/>
    <n v="393.75"/>
    <x v="0"/>
    <x v="0"/>
    <s v="VALENCIA"/>
    <s v="SI"/>
  </r>
  <r>
    <s v="COD-099"/>
    <x v="6"/>
    <n v="40"/>
    <s v="CLIENTE-003"/>
    <n v="2400"/>
    <s v="PROFESOR-002"/>
    <n v="480"/>
    <d v="2021-07-24T00:00:00"/>
    <x v="4"/>
    <x v="0"/>
    <x v="0"/>
    <s v="COMERCIAL-001"/>
    <n v="288"/>
    <x v="1"/>
    <x v="1"/>
    <s v="MILAN"/>
    <s v="NO"/>
  </r>
  <r>
    <s v="COD-100"/>
    <x v="6"/>
    <n v="40"/>
    <s v="CLIENTE-005"/>
    <n v="2400"/>
    <s v="PROFESOR-001"/>
    <n v="480"/>
    <d v="2020-08-02T00:00:00"/>
    <x v="1"/>
    <x v="2"/>
    <x v="1"/>
    <s v="COMERCIAL-003"/>
    <n v="288"/>
    <x v="0"/>
    <x v="2"/>
    <s v="PARIS"/>
    <s v="SI"/>
  </r>
  <r>
    <s v="COD-101"/>
    <x v="6"/>
    <n v="35"/>
    <s v="CLIENTE-006"/>
    <n v="2100"/>
    <s v="PROFESOR-001"/>
    <n v="420"/>
    <d v="2021-01-09T00:00:00"/>
    <x v="3"/>
    <x v="0"/>
    <x v="0"/>
    <s v="COMERCIAL-002"/>
    <n v="252"/>
    <x v="0"/>
    <x v="2"/>
    <s v="PARIS"/>
    <s v="SI"/>
  </r>
  <r>
    <s v="COD-102"/>
    <x v="2"/>
    <n v="15"/>
    <s v="CLIENTE-004"/>
    <n v="600"/>
    <s v="PROFESOR-004"/>
    <n v="180"/>
    <d v="2019-11-15T00:00:00"/>
    <x v="10"/>
    <x v="1"/>
    <x v="0"/>
    <s v="COMERCIAL-004"/>
    <n v="60"/>
    <x v="0"/>
    <x v="0"/>
    <s v="VALENCIA"/>
    <s v="SI"/>
  </r>
  <r>
    <s v="COD-103"/>
    <x v="2"/>
    <n v="20"/>
    <s v="CLIENTE-007"/>
    <n v="800"/>
    <s v="PROFESOR-005"/>
    <n v="240"/>
    <d v="2021-12-15T00:00:00"/>
    <x v="8"/>
    <x v="0"/>
    <x v="0"/>
    <s v="COMERCIAL-001"/>
    <n v="80"/>
    <x v="0"/>
    <x v="0"/>
    <s v="VALLADOLID"/>
    <s v="SI"/>
  </r>
  <r>
    <s v="COD-104"/>
    <x v="2"/>
    <n v="18"/>
    <s v="CLIENTE-007"/>
    <n v="720"/>
    <s v="PROFESOR-002"/>
    <n v="216"/>
    <d v="2020-04-10T00:00:00"/>
    <x v="5"/>
    <x v="2"/>
    <x v="0"/>
    <s v="COMERCIAL-002"/>
    <n v="72"/>
    <x v="0"/>
    <x v="0"/>
    <s v="VALLADOLID"/>
    <s v="SI"/>
  </r>
  <r>
    <s v="COD-105"/>
    <x v="2"/>
    <n v="25"/>
    <s v="CLIENTE-006"/>
    <n v="1000"/>
    <s v="PROFESOR-001"/>
    <n v="300"/>
    <d v="2019-10-31T00:00:00"/>
    <x v="6"/>
    <x v="1"/>
    <x v="1"/>
    <s v="COMERCIAL-004"/>
    <n v="100"/>
    <x v="1"/>
    <x v="2"/>
    <s v="MARSELLA"/>
    <s v="SI"/>
  </r>
  <r>
    <s v="COD-106"/>
    <x v="1"/>
    <n v="20"/>
    <s v="CLIENTE-005"/>
    <n v="600"/>
    <s v="PROFESOR-004"/>
    <n v="240"/>
    <d v="2021-07-22T00:00:00"/>
    <x v="4"/>
    <x v="0"/>
    <x v="1"/>
    <s v="COMERCIAL-001"/>
    <n v="48"/>
    <x v="1"/>
    <x v="2"/>
    <s v="MARSELLA"/>
    <s v="SI"/>
  </r>
  <r>
    <s v="COD-107"/>
    <x v="3"/>
    <n v="10"/>
    <s v="CLIENTE-008"/>
    <n v="300"/>
    <s v="PROFESOR-003"/>
    <n v="120"/>
    <d v="2021-01-01T00:00:00"/>
    <x v="3"/>
    <x v="0"/>
    <x v="1"/>
    <s v="COMERCIAL-003"/>
    <n v="24"/>
    <x v="0"/>
    <x v="0"/>
    <s v="VALLADOLID"/>
    <s v="SI"/>
  </r>
  <r>
    <s v="COD-108"/>
    <x v="4"/>
    <n v="12"/>
    <s v="CLIENTE-008"/>
    <n v="360"/>
    <s v="PROFESOR-002"/>
    <n v="144"/>
    <d v="2021-04-12T00:00:00"/>
    <x v="5"/>
    <x v="0"/>
    <x v="1"/>
    <s v="COMERCIAL-002"/>
    <n v="28.8"/>
    <x v="0"/>
    <x v="0"/>
    <s v="VALLADOLID"/>
    <s v="SI"/>
  </r>
  <r>
    <s v="COD-109"/>
    <x v="4"/>
    <n v="15"/>
    <s v="CLIENTE-007"/>
    <n v="375"/>
    <s v="PROFESOR-001"/>
    <n v="180"/>
    <d v="2020-05-17T00:00:00"/>
    <x v="9"/>
    <x v="2"/>
    <x v="2"/>
    <s v="COMERCIAL-004"/>
    <n v="26.25"/>
    <x v="0"/>
    <x v="0"/>
    <s v="VALLADOLID"/>
    <s v="SI"/>
  </r>
  <r>
    <s v="COD-110"/>
    <x v="4"/>
    <n v="20"/>
    <s v="CLIENTE-005"/>
    <n v="500"/>
    <s v="PROFESOR-004"/>
    <n v="240"/>
    <d v="2021-11-06T00:00:00"/>
    <x v="10"/>
    <x v="0"/>
    <x v="2"/>
    <s v="COMERCIAL-003"/>
    <n v="35"/>
    <x v="1"/>
    <x v="2"/>
    <s v="MARSELLA"/>
    <s v="NO"/>
  </r>
  <r>
    <s v="COD-111"/>
    <x v="3"/>
    <n v="25"/>
    <s v="CLIENTE-003"/>
    <n v="625"/>
    <s v="PROFESOR-005"/>
    <n v="300"/>
    <d v="2019-04-18T00:00:00"/>
    <x v="5"/>
    <x v="1"/>
    <x v="2"/>
    <s v="COMERCIAL-002"/>
    <n v="43.75"/>
    <x v="0"/>
    <x v="1"/>
    <s v="MILAN"/>
    <s v="SI"/>
  </r>
  <r>
    <s v="COD-112"/>
    <x v="5"/>
    <n v="30"/>
    <s v="CLIENTE-005"/>
    <n v="750"/>
    <s v="PROFESOR-002"/>
    <n v="360"/>
    <d v="2020-11-04T00:00:00"/>
    <x v="10"/>
    <x v="2"/>
    <x v="1"/>
    <s v="COMERCIAL-004"/>
    <n v="52.5"/>
    <x v="0"/>
    <x v="2"/>
    <s v="MARSELLA"/>
    <s v="SI"/>
  </r>
  <r>
    <s v="COD-113"/>
    <x v="6"/>
    <n v="40"/>
    <s v="CLIENTE-004"/>
    <n v="1200"/>
    <s v="PROFESOR-001"/>
    <n v="480"/>
    <d v="2021-09-15T00:00:00"/>
    <x v="0"/>
    <x v="0"/>
    <x v="1"/>
    <s v="COMERCIAL-001"/>
    <n v="96"/>
    <x v="1"/>
    <x v="0"/>
    <s v="VALENCIA"/>
    <s v="NO"/>
  </r>
  <r>
    <s v="COD-114"/>
    <x v="6"/>
    <n v="35"/>
    <s v="CLIENTE-003"/>
    <n v="1400"/>
    <s v="PROFESOR-004"/>
    <n v="420"/>
    <d v="2020-05-22T00:00:00"/>
    <x v="9"/>
    <x v="2"/>
    <x v="1"/>
    <s v="COMERCIAL-002"/>
    <n v="140"/>
    <x v="1"/>
    <x v="1"/>
    <s v="MILAN"/>
    <s v="SI"/>
  </r>
  <r>
    <s v="COD-115"/>
    <x v="6"/>
    <n v="45"/>
    <s v="CLIENTE-005"/>
    <n v="1125"/>
    <s v="PROFESOR-005"/>
    <n v="540"/>
    <d v="2019-10-03T00:00:00"/>
    <x v="6"/>
    <x v="1"/>
    <x v="1"/>
    <s v="COMERCIAL-004"/>
    <n v="78.75"/>
    <x v="1"/>
    <x v="2"/>
    <s v="MARSELLA"/>
    <s v="SI"/>
  </r>
  <r>
    <s v="COD-116"/>
    <x v="2"/>
    <n v="18"/>
    <s v="CLIENTE-003"/>
    <n v="450"/>
    <s v="PROFESOR-002"/>
    <n v="216"/>
    <d v="2020-01-26T00:00:00"/>
    <x v="3"/>
    <x v="2"/>
    <x v="2"/>
    <s v="COMERCIAL-001"/>
    <n v="31.5"/>
    <x v="1"/>
    <x v="1"/>
    <s v="MILAN"/>
    <s v="NO"/>
  </r>
  <r>
    <s v="COD-117"/>
    <x v="2"/>
    <n v="10"/>
    <s v="CLIENTE-004"/>
    <n v="250"/>
    <s v="PROFESOR-001"/>
    <n v="120"/>
    <d v="2021-06-19T00:00:00"/>
    <x v="11"/>
    <x v="0"/>
    <x v="2"/>
    <s v="COMERCIAL-003"/>
    <n v="17.5"/>
    <x v="1"/>
    <x v="0"/>
    <s v="MADRID"/>
    <s v="NO"/>
  </r>
  <r>
    <s v="COD-118"/>
    <x v="2"/>
    <n v="12"/>
    <s v="CLIENTE-003"/>
    <n v="360"/>
    <s v="PROFESOR-003"/>
    <n v="144"/>
    <d v="2019-11-16T00:00:00"/>
    <x v="10"/>
    <x v="1"/>
    <x v="2"/>
    <s v="COMERCIAL-002"/>
    <n v="28.8"/>
    <x v="0"/>
    <x v="1"/>
    <s v="MILAN"/>
    <s v="SI"/>
  </r>
  <r>
    <s v="COD-119"/>
    <x v="2"/>
    <n v="15"/>
    <s v="CLIENTE-006"/>
    <n v="450"/>
    <s v="PROFESOR-002"/>
    <n v="180"/>
    <d v="2019-11-10T00:00:00"/>
    <x v="10"/>
    <x v="1"/>
    <x v="2"/>
    <s v="COMERCIAL-004"/>
    <n v="36"/>
    <x v="1"/>
    <x v="2"/>
    <s v="MARSELLA"/>
    <s v="SI"/>
  </r>
  <r>
    <s v="COD-120"/>
    <x v="1"/>
    <n v="25"/>
    <s v="CLIENTE-004"/>
    <n v="750"/>
    <s v="PROFESOR-001"/>
    <n v="300"/>
    <d v="2019-11-27T00:00:00"/>
    <x v="10"/>
    <x v="1"/>
    <x v="2"/>
    <s v="COMERCIAL-003"/>
    <n v="60"/>
    <x v="0"/>
    <x v="0"/>
    <s v="VALENCIA"/>
    <s v="NO"/>
  </r>
  <r>
    <s v="COD-121"/>
    <x v="1"/>
    <n v="15"/>
    <s v="CLIENTE-007"/>
    <n v="375"/>
    <s v="PROFESOR-004"/>
    <n v="180"/>
    <d v="2021-12-01T00:00:00"/>
    <x v="8"/>
    <x v="0"/>
    <x v="1"/>
    <s v="COMERCIAL-002"/>
    <n v="18.75"/>
    <x v="0"/>
    <x v="0"/>
    <s v="VALENCIA"/>
    <s v="SI"/>
  </r>
  <r>
    <s v="COD-122"/>
    <x v="1"/>
    <n v="20"/>
    <s v="CLIENTE-005"/>
    <n v="500"/>
    <s v="PROFESOR-005"/>
    <n v="240"/>
    <d v="2019-05-13T00:00:00"/>
    <x v="9"/>
    <x v="1"/>
    <x v="2"/>
    <s v="COMERCIAL-004"/>
    <n v="25"/>
    <x v="0"/>
    <x v="2"/>
    <s v="MARSELLA"/>
    <s v="SI"/>
  </r>
  <r>
    <s v="COD-123"/>
    <x v="0"/>
    <n v="20"/>
    <s v="CLIENTE-006"/>
    <n v="500"/>
    <s v="PROFESOR-002"/>
    <n v="240"/>
    <d v="2020-10-13T00:00:00"/>
    <x v="6"/>
    <x v="2"/>
    <x v="2"/>
    <s v="COMERCIAL-001"/>
    <n v="25"/>
    <x v="0"/>
    <x v="2"/>
    <s v="MARSELLA"/>
    <s v="NO"/>
  </r>
  <r>
    <s v="COD-124"/>
    <x v="0"/>
    <n v="30"/>
    <s v="CLIENTE-008"/>
    <n v="750"/>
    <s v="PROFESOR-001"/>
    <n v="360"/>
    <d v="2019-01-30T00:00:00"/>
    <x v="3"/>
    <x v="1"/>
    <x v="2"/>
    <s v="COMERCIAL-003"/>
    <n v="37.5"/>
    <x v="0"/>
    <x v="0"/>
    <s v="MADRID"/>
    <s v="NO"/>
  </r>
  <r>
    <s v="COD-125"/>
    <x v="2"/>
    <n v="35"/>
    <s v="CLIENTE-003"/>
    <n v="875"/>
    <s v="PROFESOR-004"/>
    <n v="420"/>
    <d v="2019-01-12T00:00:00"/>
    <x v="3"/>
    <x v="1"/>
    <x v="1"/>
    <s v="COMERCIAL-002"/>
    <n v="43.75"/>
    <x v="0"/>
    <x v="1"/>
    <s v="MILAN"/>
    <s v="SI"/>
  </r>
  <r>
    <s v="COD-126"/>
    <x v="2"/>
    <n v="40"/>
    <s v="CLIENTE-005"/>
    <n v="3000"/>
    <s v="PROFESOR-003"/>
    <n v="480"/>
    <d v="2021-09-16T00:00:00"/>
    <x v="0"/>
    <x v="0"/>
    <x v="1"/>
    <s v="COMERCIAL-004"/>
    <n v="450"/>
    <x v="0"/>
    <x v="2"/>
    <s v="MARSELLA"/>
    <s v="SI"/>
  </r>
  <r>
    <s v="COD-127"/>
    <x v="1"/>
    <n v="40"/>
    <s v="CLIENTE-006"/>
    <n v="2400"/>
    <s v="PROFESOR-002"/>
    <n v="480"/>
    <d v="2021-06-28T00:00:00"/>
    <x v="11"/>
    <x v="0"/>
    <x v="1"/>
    <s v="COMERCIAL-001"/>
    <n v="288"/>
    <x v="0"/>
    <x v="2"/>
    <s v="MARSELLA"/>
    <s v="NO"/>
  </r>
  <r>
    <s v="COD-128"/>
    <x v="1"/>
    <n v="35"/>
    <s v="CLIENTE-004"/>
    <n v="2100"/>
    <s v="PROFESOR-001"/>
    <n v="420"/>
    <d v="2021-05-08T00:00:00"/>
    <x v="9"/>
    <x v="0"/>
    <x v="1"/>
    <s v="COMERCIAL-002"/>
    <n v="252"/>
    <x v="0"/>
    <x v="0"/>
    <s v="VALLADOLID"/>
    <s v="SI"/>
  </r>
  <r>
    <s v="COD-129"/>
    <x v="1"/>
    <n v="45"/>
    <s v="CLIENTE-007"/>
    <n v="2700"/>
    <s v="PROFESOR-004"/>
    <n v="540"/>
    <d v="2020-03-11T00:00:00"/>
    <x v="2"/>
    <x v="2"/>
    <x v="2"/>
    <s v="COMERCIAL-004"/>
    <n v="324"/>
    <x v="0"/>
    <x v="0"/>
    <s v="MADRID"/>
    <s v="SI"/>
  </r>
  <r>
    <s v="COD-130"/>
    <x v="0"/>
    <n v="25"/>
    <s v="CLIENTE-007"/>
    <n v="1000"/>
    <s v="PROFESOR-005"/>
    <n v="300"/>
    <d v="2019-01-15T00:00:00"/>
    <x v="3"/>
    <x v="1"/>
    <x v="2"/>
    <s v="COMERCIAL-001"/>
    <n v="100"/>
    <x v="0"/>
    <x v="0"/>
    <s v="MADRID"/>
    <s v="NO"/>
  </r>
  <r>
    <s v="COD-131"/>
    <x v="0"/>
    <n v="20"/>
    <s v="CLIENTE-006"/>
    <n v="500"/>
    <s v="PROFESOR-002"/>
    <n v="240"/>
    <d v="2019-09-02T00:00:00"/>
    <x v="0"/>
    <x v="1"/>
    <x v="2"/>
    <s v="COMERCIAL-003"/>
    <n v="35"/>
    <x v="0"/>
    <x v="2"/>
    <s v="MARSELLA"/>
    <s v="NO"/>
  </r>
  <r>
    <s v="COD-132"/>
    <x v="0"/>
    <n v="10"/>
    <s v="CLIENTE-005"/>
    <n v="250"/>
    <s v="PROFESOR-001"/>
    <n v="120"/>
    <d v="2020-06-01T00:00:00"/>
    <x v="11"/>
    <x v="2"/>
    <x v="2"/>
    <s v="COMERCIAL-003"/>
    <n v="17.5"/>
    <x v="0"/>
    <x v="2"/>
    <s v="MARSELLA"/>
    <s v="NO"/>
  </r>
  <r>
    <s v="COD-133"/>
    <x v="3"/>
    <n v="12"/>
    <s v="CLIENTE-008"/>
    <n v="300"/>
    <s v="PROFESOR-003"/>
    <n v="144"/>
    <d v="2019-11-25T00:00:00"/>
    <x v="10"/>
    <x v="1"/>
    <x v="2"/>
    <s v="COMERCIAL-002"/>
    <n v="21"/>
    <x v="0"/>
    <x v="0"/>
    <s v="MADRID"/>
    <s v="SI"/>
  </r>
  <r>
    <s v="COD-134"/>
    <x v="5"/>
    <n v="15"/>
    <s v="CLIENTE-003"/>
    <n v="450"/>
    <s v="PROFESOR-002"/>
    <n v="180"/>
    <d v="2019-05-02T00:00:00"/>
    <x v="9"/>
    <x v="1"/>
    <x v="1"/>
    <s v="COMERCIAL-004"/>
    <n v="36"/>
    <x v="1"/>
    <x v="1"/>
    <s v="MILAN"/>
    <s v="SI"/>
  </r>
  <r>
    <s v="COD-135"/>
    <x v="6"/>
    <n v="20"/>
    <s v="CLIENTE-005"/>
    <n v="600"/>
    <s v="PROFESOR-001"/>
    <n v="240"/>
    <d v="2019-01-18T00:00:00"/>
    <x v="3"/>
    <x v="1"/>
    <x v="0"/>
    <s v="COMERCIAL-001"/>
    <n v="48"/>
    <x v="1"/>
    <x v="2"/>
    <s v="MARSELLA"/>
    <s v="NO"/>
  </r>
  <r>
    <s v="COD-136"/>
    <x v="6"/>
    <n v="25"/>
    <s v="CLIENTE-003"/>
    <n v="750"/>
    <s v="PROFESOR-004"/>
    <n v="300"/>
    <d v="2021-09-30T00:00:00"/>
    <x v="0"/>
    <x v="0"/>
    <x v="1"/>
    <s v="COMERCIAL-002"/>
    <n v="60"/>
    <x v="1"/>
    <x v="1"/>
    <s v="MILAN"/>
    <s v="SI"/>
  </r>
  <r>
    <s v="COD-137"/>
    <x v="6"/>
    <n v="30"/>
    <s v="CLIENTE-004"/>
    <n v="750"/>
    <s v="PROFESOR-005"/>
    <n v="360"/>
    <d v="2021-11-02T00:00:00"/>
    <x v="10"/>
    <x v="0"/>
    <x v="0"/>
    <s v="COMERCIAL-004"/>
    <n v="37.5"/>
    <x v="1"/>
    <x v="0"/>
    <s v="VALLADOLID"/>
    <s v="SI"/>
  </r>
  <r>
    <s v="COD-138"/>
    <x v="2"/>
    <n v="40"/>
    <s v="CLIENTE-003"/>
    <n v="1000"/>
    <s v="PROFESOR-002"/>
    <n v="480"/>
    <d v="2020-06-03T00:00:00"/>
    <x v="11"/>
    <x v="2"/>
    <x v="0"/>
    <s v="COMERCIAL-001"/>
    <n v="50"/>
    <x v="0"/>
    <x v="1"/>
    <s v="MILAN"/>
    <s v="SI"/>
  </r>
  <r>
    <s v="COD-139"/>
    <x v="2"/>
    <n v="35"/>
    <s v="CLIENTE-006"/>
    <n v="875"/>
    <s v="PROFESOR-001"/>
    <n v="420"/>
    <d v="2020-03-22T00:00:00"/>
    <x v="2"/>
    <x v="2"/>
    <x v="0"/>
    <s v="COMERCIAL-003"/>
    <n v="43.75"/>
    <x v="0"/>
    <x v="2"/>
    <s v="PARIS"/>
    <s v="SI"/>
  </r>
  <r>
    <s v="COD-140"/>
    <x v="2"/>
    <n v="45"/>
    <s v="CLIENTE-004"/>
    <n v="1125"/>
    <s v="PROFESOR-004"/>
    <n v="540"/>
    <d v="2020-04-13T00:00:00"/>
    <x v="5"/>
    <x v="2"/>
    <x v="0"/>
    <s v="COMERCIAL-002"/>
    <n v="56.25"/>
    <x v="0"/>
    <x v="0"/>
    <s v="VALLADOLID"/>
    <s v="SI"/>
  </r>
  <r>
    <s v="COD-141"/>
    <x v="2"/>
    <n v="18"/>
    <s v="CLIENTE-007"/>
    <n v="450"/>
    <s v="PROFESOR-003"/>
    <n v="216"/>
    <d v="2020-09-23T00:00:00"/>
    <x v="0"/>
    <x v="2"/>
    <x v="1"/>
    <s v="COMERCIAL-004"/>
    <n v="22.5"/>
    <x v="0"/>
    <x v="0"/>
    <s v="VALLADOLID"/>
    <s v="SI"/>
  </r>
  <r>
    <s v="COD-142"/>
    <x v="1"/>
    <n v="10"/>
    <s v="CLIENTE-005"/>
    <n v="750"/>
    <s v="PROFESOR-002"/>
    <n v="120"/>
    <d v="2021-09-28T00:00:00"/>
    <x v="0"/>
    <x v="0"/>
    <x v="1"/>
    <s v="COMERCIAL-003"/>
    <n v="112.5"/>
    <x v="1"/>
    <x v="2"/>
    <s v="PARIS"/>
    <s v="SI"/>
  </r>
  <r>
    <s v="COD-143"/>
    <x v="1"/>
    <n v="12"/>
    <s v="CLIENTE-006"/>
    <n v="720"/>
    <s v="PROFESOR-001"/>
    <n v="144"/>
    <d v="2020-02-13T00:00:00"/>
    <x v="7"/>
    <x v="2"/>
    <x v="0"/>
    <s v="COMERCIAL-002"/>
    <n v="86.4"/>
    <x v="1"/>
    <x v="2"/>
    <s v="PARIS"/>
    <s v="SI"/>
  </r>
  <r>
    <s v="COD-144"/>
    <x v="1"/>
    <n v="15"/>
    <s v="CLIENTE-008"/>
    <n v="900"/>
    <s v="PROFESOR-004"/>
    <n v="180"/>
    <d v="2021-11-13T00:00:00"/>
    <x v="10"/>
    <x v="0"/>
    <x v="1"/>
    <s v="COMERCIAL-004"/>
    <n v="108"/>
    <x v="0"/>
    <x v="0"/>
    <s v="MADRID"/>
    <s v="SI"/>
  </r>
  <r>
    <s v="COD-145"/>
    <x v="0"/>
    <n v="25"/>
    <s v="CLIENTE-003"/>
    <n v="1500"/>
    <s v="PROFESOR-005"/>
    <n v="300"/>
    <d v="2021-04-17T00:00:00"/>
    <x v="5"/>
    <x v="0"/>
    <x v="0"/>
    <s v="COMERCIAL-001"/>
    <n v="180"/>
    <x v="1"/>
    <x v="1"/>
    <s v="MILAN"/>
    <s v="SI"/>
  </r>
  <r>
    <s v="COD-146"/>
    <x v="0"/>
    <n v="15"/>
    <s v="CLIENTE-005"/>
    <n v="600"/>
    <s v="PROFESOR-002"/>
    <n v="180"/>
    <d v="2021-07-03T00:00:00"/>
    <x v="4"/>
    <x v="0"/>
    <x v="0"/>
    <s v="COMERCIAL-003"/>
    <n v="60"/>
    <x v="1"/>
    <x v="2"/>
    <s v="PARIS"/>
    <s v="SI"/>
  </r>
  <r>
    <s v="COD-147"/>
    <x v="0"/>
    <n v="10"/>
    <s v="CLIENTE-006"/>
    <n v="400"/>
    <s v="PROFESOR-001"/>
    <n v="120"/>
    <d v="2021-10-02T00:00:00"/>
    <x v="6"/>
    <x v="0"/>
    <x v="0"/>
    <s v="COMERCIAL-002"/>
    <n v="40"/>
    <x v="0"/>
    <x v="2"/>
    <s v="PARIS"/>
    <s v="SI"/>
  </r>
  <r>
    <s v="COD-148"/>
    <x v="0"/>
    <n v="12"/>
    <s v="CLIENTE-004"/>
    <n v="480"/>
    <s v="PROFESOR-004"/>
    <n v="144"/>
    <d v="2020-08-26T00:00:00"/>
    <x v="1"/>
    <x v="2"/>
    <x v="0"/>
    <s v="COMERCIAL-004"/>
    <n v="48"/>
    <x v="1"/>
    <x v="0"/>
    <s v="MADRID"/>
    <s v="SI"/>
  </r>
  <r>
    <s v="COD-149"/>
    <x v="1"/>
    <n v="15"/>
    <s v="CLIENTE-007"/>
    <n v="600"/>
    <s v="PROFESOR-005"/>
    <n v="180"/>
    <d v="2019-08-17T00:00:00"/>
    <x v="1"/>
    <x v="1"/>
    <x v="1"/>
    <s v="COMERCIAL-001"/>
    <n v="60"/>
    <x v="0"/>
    <x v="0"/>
    <s v="VALENCIA"/>
    <s v="SI"/>
  </r>
  <r>
    <s v="COD-150"/>
    <x v="2"/>
    <n v="25"/>
    <s v="CLIENTE-007"/>
    <n v="750"/>
    <s v="PROFESOR-002"/>
    <n v="300"/>
    <d v="2021-09-08T00:00:00"/>
    <x v="0"/>
    <x v="0"/>
    <x v="1"/>
    <s v="COMERCIAL-002"/>
    <n v="60"/>
    <x v="0"/>
    <x v="0"/>
    <s v="VALENCIA"/>
    <s v="SI"/>
  </r>
  <r>
    <s v="COD-151"/>
    <x v="0"/>
    <n v="15"/>
    <s v="CLIENTE-006"/>
    <n v="450"/>
    <s v="PROFESOR-001"/>
    <n v="180"/>
    <d v="2021-01-14T00:00:00"/>
    <x v="3"/>
    <x v="0"/>
    <x v="1"/>
    <s v="COMERCIAL-004"/>
    <n v="36"/>
    <x v="0"/>
    <x v="2"/>
    <s v="PARIS"/>
    <s v="SI"/>
  </r>
  <r>
    <s v="COD-152"/>
    <x v="0"/>
    <n v="20"/>
    <s v="CLIENTE-005"/>
    <n v="600"/>
    <s v="PROFESOR-004"/>
    <n v="240"/>
    <d v="2021-08-12T00:00:00"/>
    <x v="1"/>
    <x v="0"/>
    <x v="1"/>
    <s v="COMERCIAL-001"/>
    <n v="48"/>
    <x v="0"/>
    <x v="2"/>
    <s v="PARIS"/>
    <s v="SI"/>
  </r>
  <r>
    <s v="COD-153"/>
    <x v="0"/>
    <n v="20"/>
    <s v="CLIENTE-008"/>
    <n v="500"/>
    <s v="PROFESOR-003"/>
    <n v="240"/>
    <d v="2019-07-26T00:00:00"/>
    <x v="4"/>
    <x v="1"/>
    <x v="2"/>
    <s v="COMERCIAL-003"/>
    <n v="35"/>
    <x v="0"/>
    <x v="0"/>
    <s v="MADRID"/>
    <s v="NO"/>
  </r>
  <r>
    <s v="COD-154"/>
    <x v="1"/>
    <n v="30"/>
    <s v="CLIENTE-008"/>
    <n v="750"/>
    <s v="PROFESOR-002"/>
    <n v="360"/>
    <d v="2021-06-04T00:00:00"/>
    <x v="11"/>
    <x v="0"/>
    <x v="2"/>
    <s v="COMERCIAL-002"/>
    <n v="52.5"/>
    <x v="0"/>
    <x v="0"/>
    <s v="MADRID"/>
    <s v="SI"/>
  </r>
  <r>
    <s v="COD-155"/>
    <x v="1"/>
    <n v="35"/>
    <s v="CLIENTE-007"/>
    <n v="875"/>
    <s v="PROFESOR-001"/>
    <n v="420"/>
    <d v="2020-04-13T00:00:00"/>
    <x v="5"/>
    <x v="2"/>
    <x v="2"/>
    <s v="COMERCIAL-004"/>
    <n v="61.25"/>
    <x v="0"/>
    <x v="0"/>
    <s v="VALENCIA"/>
    <s v="SI"/>
  </r>
  <r>
    <s v="COD-156"/>
    <x v="1"/>
    <n v="40"/>
    <s v="CLIENTE-005"/>
    <n v="1000"/>
    <s v="PROFESOR-001"/>
    <n v="480"/>
    <d v="2021-02-07T00:00:00"/>
    <x v="7"/>
    <x v="0"/>
    <x v="1"/>
    <s v="COMERCIAL-003"/>
    <n v="70"/>
    <x v="0"/>
    <x v="2"/>
    <s v="PARIS"/>
    <s v="NO"/>
  </r>
  <r>
    <s v="COD-157"/>
    <x v="3"/>
    <n v="40"/>
    <s v="CLIENTE-003"/>
    <n v="1200"/>
    <s v="PROFESOR-004"/>
    <n v="480"/>
    <d v="2019-01-02T00:00:00"/>
    <x v="3"/>
    <x v="1"/>
    <x v="1"/>
    <s v="COMERCIAL-002"/>
    <n v="96"/>
    <x v="0"/>
    <x v="1"/>
    <s v="MILAN"/>
    <s v="SI"/>
  </r>
  <r>
    <s v="COD-158"/>
    <x v="4"/>
    <n v="35"/>
    <s v="CLIENTE-005"/>
    <n v="1400"/>
    <s v="PROFESOR-005"/>
    <n v="420"/>
    <d v="2019-10-04T00:00:00"/>
    <x v="6"/>
    <x v="1"/>
    <x v="1"/>
    <s v="COMERCIAL-004"/>
    <n v="140"/>
    <x v="0"/>
    <x v="2"/>
    <s v="PARIS"/>
    <s v="SI"/>
  </r>
  <r>
    <s v="COD-159"/>
    <x v="0"/>
    <n v="45"/>
    <s v="CLIENTE-004"/>
    <n v="1125"/>
    <s v="PROFESOR-002"/>
    <n v="540"/>
    <d v="2019-12-10T00:00:00"/>
    <x v="8"/>
    <x v="1"/>
    <x v="1"/>
    <s v="COMERCIAL-001"/>
    <n v="78.75"/>
    <x v="0"/>
    <x v="0"/>
    <s v="VALLADOLID"/>
    <s v="NO"/>
  </r>
  <r>
    <s v="COD-160"/>
    <x v="0"/>
    <n v="25"/>
    <s v="CLIENTE-003"/>
    <n v="625"/>
    <s v="PROFESOR-001"/>
    <n v="300"/>
    <d v="2019-11-15T00:00:00"/>
    <x v="10"/>
    <x v="1"/>
    <x v="2"/>
    <s v="COMERCIAL-002"/>
    <n v="43.75"/>
    <x v="0"/>
    <x v="1"/>
    <s v="MILAN"/>
    <s v="SI"/>
  </r>
  <r>
    <s v="COD-161"/>
    <x v="0"/>
    <n v="20"/>
    <s v="CLIENTE-005"/>
    <n v="500"/>
    <s v="PROFESOR-004"/>
    <n v="240"/>
    <d v="2019-03-23T00:00:00"/>
    <x v="2"/>
    <x v="1"/>
    <x v="2"/>
    <s v="COMERCIAL-004"/>
    <n v="35"/>
    <x v="0"/>
    <x v="2"/>
    <s v="PARIS"/>
    <s v="SI"/>
  </r>
  <r>
    <s v="COD-162"/>
    <x v="1"/>
    <n v="10"/>
    <s v="CLIENTE-003"/>
    <n v="300"/>
    <s v="PROFESOR-003"/>
    <n v="120"/>
    <d v="2019-02-15T00:00:00"/>
    <x v="7"/>
    <x v="1"/>
    <x v="2"/>
    <s v="COMERCIAL-001"/>
    <n v="24"/>
    <x v="1"/>
    <x v="1"/>
    <s v="MILAN"/>
    <s v="NO"/>
  </r>
  <r>
    <s v="COD-163"/>
    <x v="1"/>
    <n v="12"/>
    <s v="CLIENTE-004"/>
    <n v="360"/>
    <s v="PROFESOR-002"/>
    <n v="144"/>
    <d v="2019-09-09T00:00:00"/>
    <x v="0"/>
    <x v="1"/>
    <x v="2"/>
    <s v="COMERCIAL-003"/>
    <n v="28.8"/>
    <x v="1"/>
    <x v="0"/>
    <s v="VALLADOLID"/>
    <s v="NO"/>
  </r>
  <r>
    <s v="COD-164"/>
    <x v="1"/>
    <n v="15"/>
    <s v="CLIENTE-003"/>
    <n v="450"/>
    <s v="PROFESOR-001"/>
    <n v="180"/>
    <d v="2020-05-14T00:00:00"/>
    <x v="9"/>
    <x v="2"/>
    <x v="2"/>
    <s v="COMERCIAL-002"/>
    <n v="36"/>
    <x v="1"/>
    <x v="1"/>
    <s v="ROMA"/>
    <s v="SI"/>
  </r>
  <r>
    <s v="COD-165"/>
    <x v="3"/>
    <n v="20"/>
    <s v="CLIENTE-006"/>
    <n v="500"/>
    <s v="PROFESOR-004"/>
    <n v="240"/>
    <d v="2020-09-05T00:00:00"/>
    <x v="0"/>
    <x v="2"/>
    <x v="1"/>
    <s v="COMERCIAL-004"/>
    <n v="25"/>
    <x v="1"/>
    <x v="2"/>
    <s v="MARSELLA"/>
    <s v="SI"/>
  </r>
  <r>
    <s v="COD-166"/>
    <x v="4"/>
    <n v="25"/>
    <s v="CLIENTE-001"/>
    <n v="625"/>
    <s v="PROFESOR-005"/>
    <n v="300"/>
    <d v="2021-05-07T00:00:00"/>
    <x v="9"/>
    <x v="0"/>
    <x v="0"/>
    <s v="COMERCIAL-001"/>
    <n v="31.25"/>
    <x v="1"/>
    <x v="0"/>
    <s v="MADRID"/>
    <s v="NO"/>
  </r>
  <r>
    <s v="COD-167"/>
    <x v="4"/>
    <n v="30"/>
    <s v="CLIENTE-002"/>
    <n v="750"/>
    <s v="PROFESOR-002"/>
    <n v="360"/>
    <d v="2019-08-20T00:00:00"/>
    <x v="1"/>
    <x v="1"/>
    <x v="1"/>
    <s v="COMERCIAL-003"/>
    <n v="37.5"/>
    <x v="1"/>
    <x v="1"/>
    <s v="ROMA"/>
    <s v="NO"/>
  </r>
  <r>
    <s v="COD-168"/>
    <x v="4"/>
    <n v="40"/>
    <s v="CLIENTE-004"/>
    <n v="1000"/>
    <s v="PROFESOR-001"/>
    <n v="480"/>
    <d v="2021-06-21T00:00:00"/>
    <x v="11"/>
    <x v="0"/>
    <x v="0"/>
    <s v="COMERCIAL-002"/>
    <n v="50"/>
    <x v="1"/>
    <x v="0"/>
    <s v="MADRID"/>
    <s v="SI"/>
  </r>
  <r>
    <s v="COD-169"/>
    <x v="3"/>
    <n v="35"/>
    <s v="CLIENTE-003"/>
    <n v="875"/>
    <s v="PROFESOR-004"/>
    <n v="420"/>
    <d v="2019-09-25T00:00:00"/>
    <x v="0"/>
    <x v="1"/>
    <x v="0"/>
    <s v="COMERCIAL-004"/>
    <n v="43.75"/>
    <x v="1"/>
    <x v="1"/>
    <s v="ROMA"/>
    <s v="SI"/>
  </r>
  <r>
    <s v="COD-170"/>
    <x v="5"/>
    <n v="45"/>
    <s v="CLIENTE-005"/>
    <n v="3375"/>
    <s v="PROFESOR-005"/>
    <n v="540"/>
    <d v="2021-01-18T00:00:00"/>
    <x v="3"/>
    <x v="0"/>
    <x v="0"/>
    <s v="COMERCIAL-001"/>
    <n v="506.25"/>
    <x v="1"/>
    <x v="2"/>
    <s v="MARSELLA"/>
    <s v="NO"/>
  </r>
  <r>
    <s v="COD-171"/>
    <x v="6"/>
    <n v="18"/>
    <s v="CLIENTE-003"/>
    <n v="1080"/>
    <s v="PROFESOR-002"/>
    <n v="216"/>
    <d v="2019-03-19T00:00:00"/>
    <x v="2"/>
    <x v="1"/>
    <x v="0"/>
    <s v="COMERCIAL-002"/>
    <n v="129.6"/>
    <x v="0"/>
    <x v="1"/>
    <s v="ROMA"/>
    <s v="SI"/>
  </r>
  <r>
    <s v="COD-172"/>
    <x v="6"/>
    <n v="10"/>
    <s v="CLIENTE-004"/>
    <n v="600"/>
    <s v="PROFESOR-001"/>
    <n v="120"/>
    <d v="2019-10-26T00:00:00"/>
    <x v="6"/>
    <x v="1"/>
    <x v="1"/>
    <s v="COMERCIAL-004"/>
    <n v="72"/>
    <x v="1"/>
    <x v="0"/>
    <s v="MADRID"/>
    <s v="SI"/>
  </r>
  <r>
    <s v="COD-173"/>
    <x v="6"/>
    <n v="45"/>
    <s v="CLIENTE-003"/>
    <n v="2700"/>
    <s v="PROFESOR-003"/>
    <n v="540"/>
    <d v="2019-05-28T00:00:00"/>
    <x v="9"/>
    <x v="1"/>
    <x v="1"/>
    <s v="COMERCIAL-001"/>
    <n v="324"/>
    <x v="0"/>
    <x v="1"/>
    <s v="ROMA"/>
    <s v="NO"/>
  </r>
  <r>
    <s v="COD-174"/>
    <x v="2"/>
    <n v="25"/>
    <s v="CLIENTE-006"/>
    <n v="1000"/>
    <s v="PROFESOR-002"/>
    <n v="300"/>
    <d v="2019-07-09T00:00:00"/>
    <x v="4"/>
    <x v="1"/>
    <x v="1"/>
    <s v="COMERCIAL-003"/>
    <n v="100"/>
    <x v="0"/>
    <x v="2"/>
    <s v="MARSELLA"/>
    <s v="NO"/>
  </r>
  <r>
    <s v="COD-175"/>
    <x v="2"/>
    <n v="20"/>
    <s v="CLIENTE-004"/>
    <n v="800"/>
    <s v="PROFESOR-001"/>
    <n v="240"/>
    <d v="2020-05-05T00:00:00"/>
    <x v="9"/>
    <x v="2"/>
    <x v="1"/>
    <s v="COMERCIAL-002"/>
    <n v="80"/>
    <x v="0"/>
    <x v="0"/>
    <s v="MADRID"/>
    <s v="SI"/>
  </r>
  <r>
    <s v="COD-176"/>
    <x v="2"/>
    <n v="10"/>
    <s v="CLIENTE-007"/>
    <n v="400"/>
    <s v="PROFESOR-004"/>
    <n v="120"/>
    <d v="2019-04-19T00:00:00"/>
    <x v="5"/>
    <x v="1"/>
    <x v="2"/>
    <s v="COMERCIAL-004"/>
    <n v="40"/>
    <x v="0"/>
    <x v="0"/>
    <s v="MADRID"/>
    <s v="SI"/>
  </r>
  <r>
    <s v="COD-177"/>
    <x v="2"/>
    <n v="12"/>
    <s v="CLIENTE-005"/>
    <n v="480"/>
    <s v="PROFESOR-005"/>
    <n v="144"/>
    <d v="2020-03-15T00:00:00"/>
    <x v="2"/>
    <x v="2"/>
    <x v="2"/>
    <s v="COMERCIAL-003"/>
    <n v="48"/>
    <x v="0"/>
    <x v="2"/>
    <s v="MARSELLA"/>
    <s v="NO"/>
  </r>
  <r>
    <s v="COD-178"/>
    <x v="1"/>
    <n v="15"/>
    <s v="CLIENTE-006"/>
    <n v="450"/>
    <s v="PROFESOR-002"/>
    <n v="180"/>
    <d v="2019-04-12T00:00:00"/>
    <x v="5"/>
    <x v="1"/>
    <x v="2"/>
    <s v="COMERCIAL-002"/>
    <n v="36"/>
    <x v="0"/>
    <x v="2"/>
    <s v="MARSELLA"/>
    <s v="SI"/>
  </r>
  <r>
    <s v="COD-179"/>
    <x v="1"/>
    <n v="20"/>
    <s v="CLIENTE-008"/>
    <n v="600"/>
    <s v="PROFESOR-001"/>
    <n v="240"/>
    <d v="2019-11-13T00:00:00"/>
    <x v="10"/>
    <x v="1"/>
    <x v="1"/>
    <s v="COMERCIAL-004"/>
    <n v="48"/>
    <x v="0"/>
    <x v="0"/>
    <s v="MADRID"/>
    <s v="SI"/>
  </r>
  <r>
    <s v="COD-180"/>
    <x v="1"/>
    <n v="25"/>
    <s v="CLIENTE-003"/>
    <n v="750"/>
    <s v="PROFESOR-004"/>
    <n v="300"/>
    <d v="2019-12-04T00:00:00"/>
    <x v="8"/>
    <x v="1"/>
    <x v="1"/>
    <s v="COMERCIAL-001"/>
    <n v="60"/>
    <x v="0"/>
    <x v="1"/>
    <s v="MILAN"/>
    <s v="NO"/>
  </r>
  <r>
    <s v="COD-181"/>
    <x v="0"/>
    <n v="30"/>
    <s v="CLIENTE-005"/>
    <n v="750"/>
    <s v="PROFESOR-003"/>
    <n v="360"/>
    <d v="2019-03-31T00:00:00"/>
    <x v="2"/>
    <x v="1"/>
    <x v="1"/>
    <s v="COMERCIAL-003"/>
    <n v="52.5"/>
    <x v="0"/>
    <x v="2"/>
    <s v="MARSELLA"/>
    <s v="NO"/>
  </r>
  <r>
    <s v="COD-182"/>
    <x v="0"/>
    <n v="40"/>
    <s v="CLIENTE-006"/>
    <n v="1000"/>
    <s v="PROFESOR-002"/>
    <n v="480"/>
    <d v="2021-11-09T00:00:00"/>
    <x v="10"/>
    <x v="0"/>
    <x v="1"/>
    <s v="COMERCIAL-002"/>
    <n v="70"/>
    <x v="0"/>
    <x v="2"/>
    <s v="MARSELLA"/>
    <s v="SI"/>
  </r>
  <r>
    <s v="COD-183"/>
    <x v="1"/>
    <n v="35"/>
    <s v="CLIENTE-004"/>
    <n v="1050"/>
    <s v="PROFESOR-001"/>
    <n v="420"/>
    <d v="2019-11-13T00:00:00"/>
    <x v="10"/>
    <x v="1"/>
    <x v="2"/>
    <s v="COMERCIAL-004"/>
    <n v="84"/>
    <x v="0"/>
    <x v="0"/>
    <s v="MADRID"/>
    <s v="SI"/>
  </r>
  <r>
    <s v="COD-184"/>
    <x v="2"/>
    <n v="45"/>
    <s v="CLIENTE-007"/>
    <n v="1800"/>
    <s v="PROFESOR-004"/>
    <n v="540"/>
    <d v="2020-09-25T00:00:00"/>
    <x v="0"/>
    <x v="2"/>
    <x v="2"/>
    <s v="COMERCIAL-001"/>
    <n v="180"/>
    <x v="0"/>
    <x v="0"/>
    <s v="VALENCIA"/>
    <s v="NO"/>
  </r>
  <r>
    <s v="COD-185"/>
    <x v="0"/>
    <n v="18"/>
    <s v="CLIENTE-007"/>
    <n v="450"/>
    <s v="PROFESOR-005"/>
    <n v="216"/>
    <d v="2021-03-25T00:00:00"/>
    <x v="2"/>
    <x v="0"/>
    <x v="2"/>
    <s v="COMERCIAL-002"/>
    <n v="31.5"/>
    <x v="0"/>
    <x v="0"/>
    <s v="VALENCIA"/>
    <s v="SI"/>
  </r>
  <r>
    <s v="COD-186"/>
    <x v="0"/>
    <n v="10"/>
    <s v="CLIENTE-006"/>
    <n v="250"/>
    <s v="PROFESOR-002"/>
    <n v="120"/>
    <d v="2019-01-12T00:00:00"/>
    <x v="3"/>
    <x v="1"/>
    <x v="2"/>
    <s v="COMERCIAL-004"/>
    <n v="17.5"/>
    <x v="1"/>
    <x v="2"/>
    <s v="MARSELLA"/>
    <s v="SI"/>
  </r>
  <r>
    <s v="COD-187"/>
    <x v="0"/>
    <n v="12"/>
    <s v="CLIENTE-005"/>
    <n v="300"/>
    <s v="PROFESOR-001"/>
    <n v="144"/>
    <d v="2021-09-21T00:00:00"/>
    <x v="0"/>
    <x v="0"/>
    <x v="2"/>
    <s v="COMERCIAL-001"/>
    <n v="21"/>
    <x v="1"/>
    <x v="2"/>
    <s v="MARSELLA"/>
    <s v="SI"/>
  </r>
  <r>
    <s v="COD-188"/>
    <x v="1"/>
    <n v="15"/>
    <s v="CLIENTE-008"/>
    <n v="450"/>
    <s v="PROFESOR-004"/>
    <n v="180"/>
    <d v="2019-01-08T00:00:00"/>
    <x v="3"/>
    <x v="1"/>
    <x v="1"/>
    <s v="COMERCIAL-003"/>
    <n v="36"/>
    <x v="0"/>
    <x v="0"/>
    <s v="VALENCIA"/>
    <s v="SI"/>
  </r>
  <r>
    <s v="COD-189"/>
    <x v="1"/>
    <n v="25"/>
    <s v="CLIENTE-008"/>
    <n v="750"/>
    <s v="PROFESOR-005"/>
    <n v="300"/>
    <d v="2021-04-07T00:00:00"/>
    <x v="5"/>
    <x v="0"/>
    <x v="2"/>
    <s v="COMERCIAL-002"/>
    <n v="60"/>
    <x v="0"/>
    <x v="0"/>
    <s v="MADRID"/>
    <s v="SI"/>
  </r>
  <r>
    <s v="COD-190"/>
    <x v="1"/>
    <n v="15"/>
    <s v="CLIENTE-007"/>
    <n v="450"/>
    <s v="PROFESOR-002"/>
    <n v="180"/>
    <d v="2019-03-13T00:00:00"/>
    <x v="2"/>
    <x v="1"/>
    <x v="2"/>
    <s v="COMERCIAL-004"/>
    <n v="36"/>
    <x v="0"/>
    <x v="0"/>
    <s v="MADRID"/>
    <s v="SI"/>
  </r>
  <r>
    <s v="COD-191"/>
    <x v="3"/>
    <n v="10"/>
    <s v="CLIENTE-005"/>
    <n v="250"/>
    <s v="PROFESOR-001"/>
    <n v="120"/>
    <d v="2019-04-24T00:00:00"/>
    <x v="5"/>
    <x v="1"/>
    <x v="2"/>
    <s v="COMERCIAL-003"/>
    <n v="12.5"/>
    <x v="0"/>
    <x v="2"/>
    <s v="MARSELLA"/>
    <s v="SI"/>
  </r>
  <r>
    <s v="COD-192"/>
    <x v="4"/>
    <n v="12"/>
    <s v="CLIENTE-003"/>
    <n v="300"/>
    <s v="PROFESOR-004"/>
    <n v="144"/>
    <d v="2019-05-16T00:00:00"/>
    <x v="9"/>
    <x v="1"/>
    <x v="1"/>
    <s v="COMERCIAL-002"/>
    <n v="15"/>
    <x v="0"/>
    <x v="1"/>
    <s v="MILAN"/>
    <s v="SI"/>
  </r>
  <r>
    <s v="COD-193"/>
    <x v="4"/>
    <n v="15"/>
    <s v="CLIENTE-005"/>
    <n v="375"/>
    <s v="PROFESOR-003"/>
    <n v="180"/>
    <d v="2020-12-05T00:00:00"/>
    <x v="8"/>
    <x v="2"/>
    <x v="1"/>
    <s v="COMERCIAL-004"/>
    <n v="18.75"/>
    <x v="0"/>
    <x v="2"/>
    <s v="MARSELLA"/>
    <s v="SI"/>
  </r>
  <r>
    <s v="COD-194"/>
    <x v="4"/>
    <n v="25"/>
    <s v="CLIENTE-004"/>
    <n v="625"/>
    <s v="PROFESOR-002"/>
    <n v="300"/>
    <d v="2019-11-01T00:00:00"/>
    <x v="10"/>
    <x v="1"/>
    <x v="1"/>
    <s v="COMERCIAL-001"/>
    <n v="31.25"/>
    <x v="0"/>
    <x v="0"/>
    <s v="VALLADOLID"/>
    <s v="SI"/>
  </r>
  <r>
    <s v="COD-195"/>
    <x v="3"/>
    <n v="15"/>
    <s v="CLIENTE-003"/>
    <n v="375"/>
    <s v="PROFESOR-001"/>
    <n v="180"/>
    <d v="2021-10-24T00:00:00"/>
    <x v="6"/>
    <x v="0"/>
    <x v="1"/>
    <s v="COMERCIAL-002"/>
    <n v="18.75"/>
    <x v="0"/>
    <x v="1"/>
    <s v="MILAN"/>
    <s v="SI"/>
  </r>
  <r>
    <s v="COD-196"/>
    <x v="5"/>
    <n v="20"/>
    <s v="CLIENTE-005"/>
    <n v="1500"/>
    <s v="PROFESOR-001"/>
    <n v="240"/>
    <d v="2021-06-26T00:00:00"/>
    <x v="11"/>
    <x v="0"/>
    <x v="2"/>
    <s v="COMERCIAL-004"/>
    <n v="225"/>
    <x v="0"/>
    <x v="2"/>
    <s v="MARSELLA"/>
    <s v="SI"/>
  </r>
  <r>
    <s v="COD-197"/>
    <x v="6"/>
    <n v="20"/>
    <s v="CLIENTE-003"/>
    <n v="1200"/>
    <s v="PROFESOR-004"/>
    <n v="240"/>
    <d v="2019-06-02T00:00:00"/>
    <x v="11"/>
    <x v="1"/>
    <x v="2"/>
    <s v="COMERCIAL-001"/>
    <n v="144"/>
    <x v="0"/>
    <x v="1"/>
    <s v="MILAN"/>
    <s v="SI"/>
  </r>
  <r>
    <s v="COD-198"/>
    <x v="6"/>
    <n v="30"/>
    <s v="CLIENTE-004"/>
    <n v="1800"/>
    <s v="PROFESOR-005"/>
    <n v="360"/>
    <d v="2020-12-30T00:00:00"/>
    <x v="8"/>
    <x v="2"/>
    <x v="2"/>
    <s v="COMERCIAL-003"/>
    <n v="216"/>
    <x v="0"/>
    <x v="0"/>
    <s v="VALLADOLID"/>
    <s v="NO"/>
  </r>
  <r>
    <s v="COD-199"/>
    <x v="6"/>
    <n v="35"/>
    <s v="CLIENTE-003"/>
    <n v="2100"/>
    <s v="PROFESOR-002"/>
    <n v="420"/>
    <d v="2021-02-14T00:00:00"/>
    <x v="7"/>
    <x v="0"/>
    <x v="2"/>
    <s v="COMERCIAL-002"/>
    <n v="252"/>
    <x v="0"/>
    <x v="1"/>
    <s v="MILAN"/>
    <s v="SI"/>
  </r>
  <r>
    <s v="COD-200"/>
    <x v="2"/>
    <n v="40"/>
    <s v="CLIENTE-006"/>
    <n v="1600"/>
    <s v="PROFESOR-001"/>
    <n v="480"/>
    <d v="2019-10-29T00:00:00"/>
    <x v="6"/>
    <x v="1"/>
    <x v="2"/>
    <s v="COMERCIAL-004"/>
    <n v="160"/>
    <x v="0"/>
    <x v="2"/>
    <s v="MARSELLA"/>
    <s v="SI"/>
  </r>
  <r>
    <s v="COD-201"/>
    <x v="2"/>
    <n v="40"/>
    <s v="CLIENTE-004"/>
    <n v="1600"/>
    <s v="PROFESOR-004"/>
    <n v="480"/>
    <d v="2021-07-30T00:00:00"/>
    <x v="4"/>
    <x v="0"/>
    <x v="1"/>
    <s v="COMERCIAL-003"/>
    <n v="160"/>
    <x v="0"/>
    <x v="0"/>
    <s v="VALLADOLID"/>
    <s v="NO"/>
  </r>
  <r>
    <s v="COD-202"/>
    <x v="2"/>
    <n v="35"/>
    <s v="CLIENTE-007"/>
    <n v="1400"/>
    <s v="PROFESOR-003"/>
    <n v="420"/>
    <d v="2020-04-29T00:00:00"/>
    <x v="5"/>
    <x v="2"/>
    <x v="0"/>
    <s v="COMERCIAL-002"/>
    <n v="140"/>
    <x v="0"/>
    <x v="0"/>
    <s v="VALLADOLID"/>
    <s v="SI"/>
  </r>
  <r>
    <s v="COD-203"/>
    <x v="2"/>
    <n v="10"/>
    <s v="CLIENTE-005"/>
    <n v="400"/>
    <s v="PROFESOR-002"/>
    <n v="120"/>
    <d v="2021-12-03T00:00:00"/>
    <x v="8"/>
    <x v="0"/>
    <x v="1"/>
    <s v="COMERCIAL-004"/>
    <n v="40"/>
    <x v="1"/>
    <x v="2"/>
    <s v="PARIS"/>
    <s v="SI"/>
  </r>
  <r>
    <s v="COD-204"/>
    <x v="1"/>
    <n v="12"/>
    <s v="CLIENTE-006"/>
    <n v="360"/>
    <s v="PROFESOR-001"/>
    <n v="144"/>
    <d v="2020-08-07T00:00:00"/>
    <x v="1"/>
    <x v="2"/>
    <x v="0"/>
    <s v="COMERCIAL-001"/>
    <n v="28.8"/>
    <x v="0"/>
    <x v="2"/>
    <s v="PARIS"/>
    <s v="NO"/>
  </r>
  <r>
    <s v="COD-205"/>
    <x v="1"/>
    <n v="15"/>
    <s v="CLIENTE-008"/>
    <n v="450"/>
    <s v="PROFESOR-004"/>
    <n v="180"/>
    <d v="2021-01-09T00:00:00"/>
    <x v="3"/>
    <x v="0"/>
    <x v="0"/>
    <s v="COMERCIAL-003"/>
    <n v="36"/>
    <x v="0"/>
    <x v="0"/>
    <s v="VALLADOLID"/>
    <s v="NO"/>
  </r>
  <r>
    <s v="COD-206"/>
    <x v="1"/>
    <n v="25"/>
    <s v="CLIENTE-003"/>
    <n v="750"/>
    <s v="PROFESOR-005"/>
    <n v="300"/>
    <d v="2019-08-09T00:00:00"/>
    <x v="1"/>
    <x v="1"/>
    <x v="0"/>
    <s v="COMERCIAL-002"/>
    <n v="60"/>
    <x v="0"/>
    <x v="1"/>
    <s v="MILAN"/>
    <s v="SI"/>
  </r>
  <r>
    <s v="COD-207"/>
    <x v="0"/>
    <n v="15"/>
    <s v="CLIENTE-005"/>
    <n v="375"/>
    <s v="PROFESOR-002"/>
    <n v="180"/>
    <d v="2019-05-15T00:00:00"/>
    <x v="9"/>
    <x v="1"/>
    <x v="0"/>
    <s v="COMERCIAL-004"/>
    <n v="26.25"/>
    <x v="0"/>
    <x v="2"/>
    <s v="PARIS"/>
    <s v="SI"/>
  </r>
  <r>
    <s v="COD-208"/>
    <x v="0"/>
    <n v="10"/>
    <s v="CLIENTE-006"/>
    <n v="250"/>
    <s v="PROFESOR-001"/>
    <n v="120"/>
    <d v="2021-08-29T00:00:00"/>
    <x v="1"/>
    <x v="0"/>
    <x v="1"/>
    <s v="COMERCIAL-001"/>
    <n v="17.5"/>
    <x v="1"/>
    <x v="2"/>
    <s v="PARIS"/>
    <s v="NO"/>
  </r>
  <r>
    <s v="COD-209"/>
    <x v="0"/>
    <n v="12"/>
    <s v="CLIENTE-004"/>
    <n v="300"/>
    <s v="PROFESOR-004"/>
    <n v="144"/>
    <d v="2020-08-09T00:00:00"/>
    <x v="1"/>
    <x v="2"/>
    <x v="1"/>
    <s v="COMERCIAL-002"/>
    <n v="21"/>
    <x v="1"/>
    <x v="0"/>
    <s v="VALLADOLID"/>
    <s v="SI"/>
  </r>
  <r>
    <s v="COD-210"/>
    <x v="0"/>
    <n v="15"/>
    <s v="CLIENTE-007"/>
    <n v="375"/>
    <s v="PROFESOR-005"/>
    <n v="180"/>
    <d v="2021-03-17T00:00:00"/>
    <x v="2"/>
    <x v="0"/>
    <x v="1"/>
    <s v="COMERCIAL-004"/>
    <n v="26.25"/>
    <x v="0"/>
    <x v="0"/>
    <s v="VALLADOLID"/>
    <s v="SI"/>
  </r>
  <r>
    <s v="COD-211"/>
    <x v="1"/>
    <n v="25"/>
    <s v="CLIENTE-007"/>
    <n v="750"/>
    <s v="PROFESOR-002"/>
    <n v="300"/>
    <d v="2020-11-09T00:00:00"/>
    <x v="10"/>
    <x v="2"/>
    <x v="1"/>
    <s v="COMERCIAL-001"/>
    <n v="60"/>
    <x v="0"/>
    <x v="0"/>
    <s v="VALLADOLID"/>
    <s v="NO"/>
  </r>
  <r>
    <s v="COD-212"/>
    <x v="2"/>
    <n v="15"/>
    <s v="CLIENTE-006"/>
    <n v="600"/>
    <s v="PROFESOR-001"/>
    <n v="180"/>
    <d v="2019-08-26T00:00:00"/>
    <x v="1"/>
    <x v="1"/>
    <x v="2"/>
    <s v="COMERCIAL-003"/>
    <n v="60"/>
    <x v="1"/>
    <x v="2"/>
    <s v="PARIS"/>
    <s v="NO"/>
  </r>
  <r>
    <s v="COD-213"/>
    <x v="0"/>
    <n v="20"/>
    <s v="CLIENTE-005"/>
    <n v="500"/>
    <s v="PROFESOR-004"/>
    <n v="240"/>
    <d v="2020-02-01T00:00:00"/>
    <x v="7"/>
    <x v="2"/>
    <x v="2"/>
    <s v="COMERCIAL-003"/>
    <n v="35"/>
    <x v="0"/>
    <x v="2"/>
    <s v="PARIS"/>
    <s v="NO"/>
  </r>
  <r>
    <s v="COD-214"/>
    <x v="0"/>
    <n v="20"/>
    <s v="CLIENTE-008"/>
    <n v="500"/>
    <s v="PROFESOR-005"/>
    <n v="240"/>
    <d v="2019-10-09T00:00:00"/>
    <x v="6"/>
    <x v="1"/>
    <x v="2"/>
    <s v="COMERCIAL-002"/>
    <n v="35"/>
    <x v="0"/>
    <x v="0"/>
    <s v="VALLADOLID"/>
    <s v="SI"/>
  </r>
  <r>
    <s v="COD-215"/>
    <x v="0"/>
    <n v="30"/>
    <s v="CLIENTE-001"/>
    <n v="750"/>
    <s v="PROFESOR-002"/>
    <n v="360"/>
    <d v="2019-09-01T00:00:00"/>
    <x v="0"/>
    <x v="1"/>
    <x v="1"/>
    <s v="COMERCIAL-004"/>
    <n v="52.5"/>
    <x v="0"/>
    <x v="0"/>
    <s v="VALLADOLID"/>
    <s v="SI"/>
  </r>
  <r>
    <s v="COD-216"/>
    <x v="1"/>
    <n v="35"/>
    <s v="CLIENTE-002"/>
    <n v="1050"/>
    <s v="PROFESOR-001"/>
    <n v="420"/>
    <d v="2021-08-28T00:00:00"/>
    <x v="1"/>
    <x v="0"/>
    <x v="1"/>
    <s v="COMERCIAL-001"/>
    <n v="84"/>
    <x v="0"/>
    <x v="1"/>
    <s v="MILAN"/>
    <s v="NO"/>
  </r>
  <r>
    <s v="COD-217"/>
    <x v="1"/>
    <n v="40"/>
    <s v="CLIENTE-004"/>
    <n v="1200"/>
    <s v="PROFESOR-004"/>
    <n v="480"/>
    <d v="2019-03-20T00:00:00"/>
    <x v="2"/>
    <x v="1"/>
    <x v="1"/>
    <s v="COMERCIAL-002"/>
    <n v="96"/>
    <x v="0"/>
    <x v="0"/>
    <s v="VALLADOLID"/>
    <s v="SI"/>
  </r>
  <r>
    <s v="COD-218"/>
    <x v="1"/>
    <n v="40"/>
    <s v="CLIENTE-003"/>
    <n v="1200"/>
    <s v="PROFESOR-003"/>
    <n v="480"/>
    <d v="2020-02-22T00:00:00"/>
    <x v="7"/>
    <x v="2"/>
    <x v="1"/>
    <s v="COMERCIAL-004"/>
    <n v="96"/>
    <x v="0"/>
    <x v="1"/>
    <s v="MILAN"/>
    <s v="SI"/>
  </r>
  <r>
    <s v="COD-219"/>
    <x v="3"/>
    <n v="35"/>
    <s v="CLIENTE-005"/>
    <n v="875"/>
    <s v="PROFESOR-002"/>
    <n v="420"/>
    <d v="2021-06-01T00:00:00"/>
    <x v="11"/>
    <x v="0"/>
    <x v="2"/>
    <s v="COMERCIAL-001"/>
    <n v="43.75"/>
    <x v="0"/>
    <x v="2"/>
    <s v="PARIS"/>
    <s v="NO"/>
  </r>
  <r>
    <s v="COD-220"/>
    <x v="4"/>
    <n v="45"/>
    <s v="CLIENTE-003"/>
    <n v="1125"/>
    <s v="PROFESOR-001"/>
    <n v="540"/>
    <d v="2020-06-28T00:00:00"/>
    <x v="11"/>
    <x v="2"/>
    <x v="0"/>
    <s v="COMERCIAL-003"/>
    <n v="56.25"/>
    <x v="0"/>
    <x v="1"/>
    <s v="MILAN"/>
    <s v="NO"/>
  </r>
  <r>
    <s v="COD-221"/>
    <x v="4"/>
    <n v="25"/>
    <s v="CLIENTE-004"/>
    <n v="625"/>
    <s v="PROFESOR-004"/>
    <n v="300"/>
    <d v="2020-08-02T00:00:00"/>
    <x v="1"/>
    <x v="2"/>
    <x v="0"/>
    <s v="COMERCIAL-002"/>
    <n v="31.25"/>
    <x v="0"/>
    <x v="0"/>
    <s v="VALENCIA"/>
    <s v="SI"/>
  </r>
  <r>
    <s v="COD-222"/>
    <x v="4"/>
    <n v="20"/>
    <s v="CLIENTE-003"/>
    <n v="500"/>
    <s v="PROFESOR-005"/>
    <n v="240"/>
    <d v="2021-08-06T00:00:00"/>
    <x v="1"/>
    <x v="0"/>
    <x v="0"/>
    <s v="COMERCIAL-004"/>
    <n v="25"/>
    <x v="0"/>
    <x v="1"/>
    <s v="MILAN"/>
    <s v="SI"/>
  </r>
  <r>
    <s v="COD-223"/>
    <x v="3"/>
    <n v="10"/>
    <s v="CLIENTE-006"/>
    <n v="250"/>
    <s v="PROFESOR-002"/>
    <n v="120"/>
    <d v="2019-12-14T00:00:00"/>
    <x v="8"/>
    <x v="1"/>
    <x v="0"/>
    <s v="COMERCIAL-003"/>
    <n v="12.5"/>
    <x v="0"/>
    <x v="2"/>
    <s v="PARIS"/>
    <s v="NO"/>
  </r>
  <r>
    <s v="COD-224"/>
    <x v="5"/>
    <n v="12"/>
    <s v="CLIENTE-004"/>
    <n v="900"/>
    <s v="PROFESOR-001"/>
    <n v="144"/>
    <d v="2021-05-14T00:00:00"/>
    <x v="9"/>
    <x v="0"/>
    <x v="1"/>
    <s v="COMERCIAL-002"/>
    <n v="135"/>
    <x v="0"/>
    <x v="0"/>
    <s v="VALENCIA"/>
    <s v="SI"/>
  </r>
  <r>
    <s v="COD-225"/>
    <x v="6"/>
    <n v="15"/>
    <s v="CLIENTE-007"/>
    <n v="900"/>
    <s v="PROFESOR-004"/>
    <n v="180"/>
    <d v="2021-01-30T00:00:00"/>
    <x v="3"/>
    <x v="0"/>
    <x v="1"/>
    <s v="COMERCIAL-004"/>
    <n v="108"/>
    <x v="0"/>
    <x v="0"/>
    <s v="VALENCIA"/>
    <s v="SI"/>
  </r>
  <r>
    <s v="COD-226"/>
    <x v="6"/>
    <n v="20"/>
    <s v="CLIENTE-005"/>
    <n v="1200"/>
    <s v="PROFESOR-005"/>
    <n v="240"/>
    <d v="2019-06-14T00:00:00"/>
    <x v="11"/>
    <x v="1"/>
    <x v="1"/>
    <s v="COMERCIAL-001"/>
    <n v="144"/>
    <x v="0"/>
    <x v="2"/>
    <s v="PARIS"/>
    <s v="NO"/>
  </r>
  <r>
    <s v="COD-227"/>
    <x v="6"/>
    <n v="25"/>
    <s v="CLIENTE-006"/>
    <n v="1500"/>
    <s v="PROFESOR-002"/>
    <n v="300"/>
    <d v="2019-04-25T00:00:00"/>
    <x v="5"/>
    <x v="1"/>
    <x v="1"/>
    <s v="COMERCIAL-003"/>
    <n v="180"/>
    <x v="0"/>
    <x v="2"/>
    <s v="PARIS"/>
    <s v="SI"/>
  </r>
  <r>
    <s v="COD-228"/>
    <x v="1"/>
    <n v="30"/>
    <s v="CLIENTE-008"/>
    <n v="1200"/>
    <s v="PROFESOR-001"/>
    <n v="360"/>
    <d v="2019-05-18T00:00:00"/>
    <x v="9"/>
    <x v="1"/>
    <x v="2"/>
    <s v="COMERCIAL-002"/>
    <n v="120"/>
    <x v="0"/>
    <x v="0"/>
    <s v="VALENCIA"/>
    <s v="SI"/>
  </r>
  <r>
    <s v="COD-229"/>
    <x v="3"/>
    <n v="40"/>
    <s v="CLIENTE-003"/>
    <n v="1600"/>
    <s v="PROFESOR-004"/>
    <n v="480"/>
    <d v="2019-06-18T00:00:00"/>
    <x v="11"/>
    <x v="1"/>
    <x v="2"/>
    <s v="COMERCIAL-004"/>
    <n v="160"/>
    <x v="1"/>
    <x v="1"/>
    <s v="MILAN"/>
    <s v="SI"/>
  </r>
  <r>
    <s v="COD-230"/>
    <x v="4"/>
    <n v="35"/>
    <s v="CLIENTE-005"/>
    <n v="1400"/>
    <s v="PROFESOR-003"/>
    <n v="420"/>
    <d v="2019-02-17T00:00:00"/>
    <x v="7"/>
    <x v="1"/>
    <x v="2"/>
    <s v="COMERCIAL-001"/>
    <n v="140"/>
    <x v="1"/>
    <x v="2"/>
    <s v="PARIS"/>
    <s v="SI"/>
  </r>
  <r>
    <s v="COD-231"/>
    <x v="4"/>
    <n v="45"/>
    <s v="CLIENTE-006"/>
    <n v="1800"/>
    <s v="PROFESOR-002"/>
    <n v="540"/>
    <d v="2019-10-16T00:00:00"/>
    <x v="6"/>
    <x v="1"/>
    <x v="1"/>
    <s v="COMERCIAL-002"/>
    <n v="180"/>
    <x v="1"/>
    <x v="2"/>
    <s v="PARIS"/>
    <s v="SI"/>
  </r>
  <r>
    <s v="COD-232"/>
    <x v="4"/>
    <n v="18"/>
    <s v="CLIENTE-004"/>
    <n v="540"/>
    <s v="PROFESOR-001"/>
    <n v="216"/>
    <d v="2019-01-06T00:00:00"/>
    <x v="3"/>
    <x v="1"/>
    <x v="1"/>
    <s v="COMERCIAL-004"/>
    <n v="43.2"/>
    <x v="1"/>
    <x v="0"/>
    <s v="VALENCIA"/>
    <s v="SI"/>
  </r>
  <r>
    <s v="COD-233"/>
    <x v="3"/>
    <n v="10"/>
    <s v="CLIENTE-007"/>
    <n v="300"/>
    <s v="PROFESOR-001"/>
    <n v="120"/>
    <d v="2020-09-20T00:00:00"/>
    <x v="0"/>
    <x v="2"/>
    <x v="1"/>
    <s v="COMERCIAL-001"/>
    <n v="24"/>
    <x v="0"/>
    <x v="0"/>
    <s v="VALENCIA"/>
    <s v="SI"/>
  </r>
  <r>
    <s v="COD-234"/>
    <x v="5"/>
    <n v="45"/>
    <s v="CLIENTE-007"/>
    <n v="1350"/>
    <s v="PROFESOR-004"/>
    <n v="540"/>
    <d v="2019-08-30T00:00:00"/>
    <x v="1"/>
    <x v="1"/>
    <x v="1"/>
    <s v="COMERCIAL-003"/>
    <n v="108"/>
    <x v="0"/>
    <x v="0"/>
    <s v="VALLADOLID"/>
    <s v="SI"/>
  </r>
  <r>
    <s v="COD-235"/>
    <x v="6"/>
    <n v="25"/>
    <s v="CLIENTE-006"/>
    <n v="625"/>
    <s v="PROFESOR-005"/>
    <n v="300"/>
    <d v="2019-03-10T00:00:00"/>
    <x v="2"/>
    <x v="1"/>
    <x v="2"/>
    <s v="COMERCIAL-002"/>
    <n v="43.75"/>
    <x v="0"/>
    <x v="2"/>
    <s v="PARIS"/>
    <s v="SI"/>
  </r>
  <r>
    <s v="COD-236"/>
    <x v="6"/>
    <n v="20"/>
    <s v="CLIENTE-005"/>
    <n v="500"/>
    <s v="PROFESOR-002"/>
    <n v="240"/>
    <d v="2020-05-08T00:00:00"/>
    <x v="9"/>
    <x v="2"/>
    <x v="2"/>
    <s v="COMERCIAL-004"/>
    <n v="35"/>
    <x v="0"/>
    <x v="2"/>
    <s v="PARIS"/>
    <s v="SI"/>
  </r>
  <r>
    <s v="COD-237"/>
    <x v="6"/>
    <n v="10"/>
    <s v="CLIENTE-008"/>
    <n v="250"/>
    <s v="PROFESOR-001"/>
    <n v="120"/>
    <d v="2019-08-28T00:00:00"/>
    <x v="1"/>
    <x v="1"/>
    <x v="2"/>
    <s v="COMERCIAL-003"/>
    <n v="17.5"/>
    <x v="0"/>
    <x v="0"/>
    <s v="VALLADOLID"/>
    <s v="SI"/>
  </r>
  <r>
    <s v="COD-238"/>
    <x v="2"/>
    <n v="12"/>
    <s v="CLIENTE-008"/>
    <n v="300"/>
    <s v="PROFESOR-004"/>
    <n v="144"/>
    <d v="2019-04-06T00:00:00"/>
    <x v="5"/>
    <x v="1"/>
    <x v="2"/>
    <s v="COMERCIAL-002"/>
    <n v="15"/>
    <x v="0"/>
    <x v="0"/>
    <s v="VALLADOLID"/>
    <s v="SI"/>
  </r>
  <r>
    <s v="COD-239"/>
    <x v="2"/>
    <n v="15"/>
    <s v="CLIENTE-007"/>
    <n v="1125"/>
    <s v="PROFESOR-003"/>
    <n v="180"/>
    <d v="2020-12-23T00:00:00"/>
    <x v="8"/>
    <x v="2"/>
    <x v="2"/>
    <s v="COMERCIAL-004"/>
    <n v="168.75"/>
    <x v="0"/>
    <x v="0"/>
    <s v="VALLADOLID"/>
    <s v="SI"/>
  </r>
  <r>
    <s v="COD-240"/>
    <x v="2"/>
    <n v="20"/>
    <s v="CLIENTE-005"/>
    <n v="1200"/>
    <s v="PROFESOR-002"/>
    <n v="240"/>
    <d v="2020-12-08T00:00:00"/>
    <x v="8"/>
    <x v="2"/>
    <x v="1"/>
    <s v="COMERCIAL-001"/>
    <n v="144"/>
    <x v="1"/>
    <x v="2"/>
    <s v="PARIS"/>
    <s v="NO"/>
  </r>
  <r>
    <s v="COD-241"/>
    <x v="2"/>
    <n v="25"/>
    <s v="CLIENTE-003"/>
    <n v="1500"/>
    <s v="PROFESOR-001"/>
    <n v="300"/>
    <d v="2021-08-07T00:00:00"/>
    <x v="1"/>
    <x v="0"/>
    <x v="0"/>
    <s v="COMERCIAL-003"/>
    <n v="180"/>
    <x v="1"/>
    <x v="1"/>
    <s v="MILAN"/>
    <s v="SI"/>
  </r>
  <r>
    <s v="COD-242"/>
    <x v="1"/>
    <n v="30"/>
    <s v="CLIENTE-005"/>
    <n v="1800"/>
    <s v="PROFESOR-004"/>
    <n v="360"/>
    <d v="2019-03-09T00:00:00"/>
    <x v="2"/>
    <x v="1"/>
    <x v="1"/>
    <s v="COMERCIAL-002"/>
    <n v="216"/>
    <x v="0"/>
    <x v="2"/>
    <s v="MARSELLA"/>
    <s v="SI"/>
  </r>
  <r>
    <s v="COD-243"/>
    <x v="1"/>
    <n v="40"/>
    <s v="CLIENTE-004"/>
    <n v="1600"/>
    <s v="PROFESOR-005"/>
    <n v="480"/>
    <d v="2021-09-29T00:00:00"/>
    <x v="0"/>
    <x v="0"/>
    <x v="0"/>
    <s v="COMERCIAL-004"/>
    <n v="160"/>
    <x v="1"/>
    <x v="0"/>
    <s v="VALLADOLID"/>
    <s v="SI"/>
  </r>
  <r>
    <s v="COD-244"/>
    <x v="1"/>
    <n v="35"/>
    <s v="CLIENTE-003"/>
    <n v="1400"/>
    <s v="PROFESOR-002"/>
    <n v="420"/>
    <d v="2020-05-04T00:00:00"/>
    <x v="9"/>
    <x v="2"/>
    <x v="0"/>
    <s v="COMERCIAL-001"/>
    <n v="140"/>
    <x v="0"/>
    <x v="1"/>
    <s v="MILAN"/>
    <s v="SI"/>
  </r>
  <r>
    <s v="COD-245"/>
    <x v="0"/>
    <n v="45"/>
    <s v="CLIENTE-005"/>
    <n v="1800"/>
    <s v="PROFESOR-001"/>
    <n v="540"/>
    <d v="2020-12-31T00:00:00"/>
    <x v="8"/>
    <x v="2"/>
    <x v="0"/>
    <s v="COMERCIAL-002"/>
    <n v="180"/>
    <x v="0"/>
    <x v="2"/>
    <s v="MARSELLA"/>
    <s v="SI"/>
  </r>
  <r>
    <s v="COD-246"/>
    <x v="0"/>
    <n v="18"/>
    <s v="CLIENTE-003"/>
    <n v="720"/>
    <s v="PROFESOR-004"/>
    <n v="216"/>
    <d v="2020-02-25T00:00:00"/>
    <x v="7"/>
    <x v="2"/>
    <x v="0"/>
    <s v="COMERCIAL-004"/>
    <n v="72"/>
    <x v="0"/>
    <x v="1"/>
    <s v="MILAN"/>
    <s v="SI"/>
  </r>
  <r>
    <s v="COD-247"/>
    <x v="2"/>
    <n v="10"/>
    <s v="CLIENTE-004"/>
    <n v="300"/>
    <s v="PROFESOR-005"/>
    <n v="120"/>
    <d v="2021-07-31T00:00:00"/>
    <x v="4"/>
    <x v="0"/>
    <x v="1"/>
    <s v="COMERCIAL-001"/>
    <n v="24"/>
    <x v="0"/>
    <x v="0"/>
    <s v="VALLADOLID"/>
    <s v="SI"/>
  </r>
  <r>
    <s v="COD-248"/>
    <x v="2"/>
    <n v="12"/>
    <s v="CLIENTE-003"/>
    <n v="360"/>
    <s v="PROFESOR-002"/>
    <n v="144"/>
    <d v="2020-05-30T00:00:00"/>
    <x v="9"/>
    <x v="2"/>
    <x v="1"/>
    <s v="COMERCIAL-003"/>
    <n v="28.8"/>
    <x v="0"/>
    <x v="1"/>
    <s v="MILAN"/>
    <s v="SI"/>
  </r>
  <r>
    <s v="COD-249"/>
    <x v="1"/>
    <n v="15"/>
    <s v="CLIENTE-006"/>
    <n v="450"/>
    <s v="PROFESOR-001"/>
    <n v="180"/>
    <d v="2021-01-13T00:00:00"/>
    <x v="3"/>
    <x v="0"/>
    <x v="1"/>
    <s v="COMERCIAL-002"/>
    <n v="36"/>
    <x v="0"/>
    <x v="2"/>
    <s v="MARSELLA"/>
    <s v="SI"/>
  </r>
  <r>
    <s v="COD-250"/>
    <x v="1"/>
    <n v="25"/>
    <s v="CLIENTE-001"/>
    <n v="625"/>
    <s v="PROFESOR-003"/>
    <n v="300"/>
    <d v="2019-12-12T00:00:00"/>
    <x v="8"/>
    <x v="1"/>
    <x v="1"/>
    <s v="COMERCIAL-004"/>
    <n v="43.75"/>
    <x v="0"/>
    <x v="0"/>
    <s v="VALLADOLID"/>
    <s v="SI"/>
  </r>
  <r>
    <s v="COD-251"/>
    <x v="1"/>
    <n v="15"/>
    <s v="CLIENTE-002"/>
    <n v="375"/>
    <s v="PROFESOR-002"/>
    <n v="180"/>
    <d v="2019-12-26T00:00:00"/>
    <x v="8"/>
    <x v="1"/>
    <x v="2"/>
    <s v="COMERCIAL-003"/>
    <n v="26.25"/>
    <x v="0"/>
    <x v="1"/>
    <s v="MILAN"/>
    <s v="SI"/>
  </r>
  <r>
    <s v="COD-252"/>
    <x v="0"/>
    <n v="10"/>
    <s v="CLIENTE-004"/>
    <n v="250"/>
    <s v="PROFESOR-001"/>
    <n v="120"/>
    <d v="2021-03-16T00:00:00"/>
    <x v="2"/>
    <x v="0"/>
    <x v="2"/>
    <s v="COMERCIAL-002"/>
    <n v="17.5"/>
    <x v="0"/>
    <x v="0"/>
    <s v="VALLADOLID"/>
    <s v="SI"/>
  </r>
  <r>
    <s v="COD-253"/>
    <x v="0"/>
    <n v="12"/>
    <s v="CLIENTE-003"/>
    <n v="300"/>
    <s v="PROFESOR-004"/>
    <n v="144"/>
    <d v="2021-06-29T00:00:00"/>
    <x v="11"/>
    <x v="0"/>
    <x v="2"/>
    <s v="COMERCIAL-004"/>
    <n v="21"/>
    <x v="0"/>
    <x v="1"/>
    <s v="MILAN"/>
    <s v="SI"/>
  </r>
  <r>
    <s v="COD-254"/>
    <x v="0"/>
    <n v="15"/>
    <s v="CLIENTE-005"/>
    <n v="450"/>
    <s v="PROFESOR-005"/>
    <n v="180"/>
    <d v="2019-11-12T00:00:00"/>
    <x v="10"/>
    <x v="1"/>
    <x v="1"/>
    <s v="COMERCIAL-001"/>
    <n v="36"/>
    <x v="0"/>
    <x v="2"/>
    <s v="MARSELLA"/>
    <s v="SI"/>
  </r>
  <r>
    <s v="COD-255"/>
    <x v="3"/>
    <n v="25"/>
    <s v="CLIENTE-003"/>
    <n v="1000"/>
    <s v="PROFESOR-002"/>
    <n v="300"/>
    <d v="2021-09-22T00:00:00"/>
    <x v="0"/>
    <x v="0"/>
    <x v="1"/>
    <s v="COMERCIAL-002"/>
    <n v="100"/>
    <x v="0"/>
    <x v="1"/>
    <s v="MILAN"/>
    <s v="SI"/>
  </r>
  <r>
    <s v="COD-256"/>
    <x v="5"/>
    <n v="15"/>
    <s v="CLIENTE-004"/>
    <n v="375"/>
    <s v="PROFESOR-001"/>
    <n v="180"/>
    <d v="2021-07-07T00:00:00"/>
    <x v="4"/>
    <x v="0"/>
    <x v="1"/>
    <s v="COMERCIAL-004"/>
    <n v="26.25"/>
    <x v="0"/>
    <x v="0"/>
    <s v="VALLADOLID"/>
    <s v="SI"/>
  </r>
  <r>
    <s v="COD-257"/>
    <x v="6"/>
    <n v="20"/>
    <s v="CLIENTE-003"/>
    <n v="500"/>
    <s v="PROFESOR-004"/>
    <n v="240"/>
    <d v="2020-08-30T00:00:00"/>
    <x v="1"/>
    <x v="2"/>
    <x v="1"/>
    <s v="COMERCIAL-001"/>
    <n v="35"/>
    <x v="1"/>
    <x v="1"/>
    <s v="MILAN"/>
    <s v="SI"/>
  </r>
  <r>
    <s v="COD-258"/>
    <x v="6"/>
    <n v="20"/>
    <s v="CLIENTE-006"/>
    <n v="500"/>
    <s v="PROFESOR-003"/>
    <n v="240"/>
    <d v="2021-05-07T00:00:00"/>
    <x v="9"/>
    <x v="0"/>
    <x v="2"/>
    <s v="COMERCIAL-003"/>
    <n v="35"/>
    <x v="1"/>
    <x v="2"/>
    <s v="MARSELLA"/>
    <s v="SI"/>
  </r>
  <r>
    <s v="COD-259"/>
    <x v="6"/>
    <n v="30"/>
    <s v="CLIENTE-004"/>
    <n v="900"/>
    <s v="PROFESOR-002"/>
    <n v="360"/>
    <d v="2021-10-19T00:00:00"/>
    <x v="6"/>
    <x v="0"/>
    <x v="2"/>
    <s v="COMERCIAL-002"/>
    <n v="72"/>
    <x v="1"/>
    <x v="0"/>
    <s v="VALLADOLID"/>
    <s v="SI"/>
  </r>
  <r>
    <s v="COD-260"/>
    <x v="2"/>
    <n v="35"/>
    <s v="CLIENTE-007"/>
    <n v="1050"/>
    <s v="PROFESOR-001"/>
    <n v="420"/>
    <d v="2021-06-27T00:00:00"/>
    <x v="11"/>
    <x v="0"/>
    <x v="2"/>
    <s v="COMERCIAL-004"/>
    <n v="84"/>
    <x v="0"/>
    <x v="0"/>
    <s v="VALLADOLID"/>
    <s v="SI"/>
  </r>
  <r>
    <s v="COD-261"/>
    <x v="2"/>
    <n v="40"/>
    <s v="CLIENTE-005"/>
    <n v="1200"/>
    <s v="PROFESOR-004"/>
    <n v="480"/>
    <d v="2019-01-20T00:00:00"/>
    <x v="3"/>
    <x v="1"/>
    <x v="2"/>
    <s v="COMERCIAL-003"/>
    <n v="96"/>
    <x v="1"/>
    <x v="2"/>
    <s v="MARSELLA"/>
    <s v="NO"/>
  </r>
  <r>
    <s v="COD-262"/>
    <x v="2"/>
    <n v="18"/>
    <s v="CLIENTE-006"/>
    <n v="450"/>
    <s v="PROFESOR-005"/>
    <n v="216"/>
    <d v="2020-02-21T00:00:00"/>
    <x v="7"/>
    <x v="2"/>
    <x v="2"/>
    <s v="COMERCIAL-002"/>
    <n v="22.5"/>
    <x v="1"/>
    <x v="2"/>
    <s v="MARSELLA"/>
    <s v="SI"/>
  </r>
  <r>
    <s v="COD-263"/>
    <x v="2"/>
    <n v="10"/>
    <s v="CLIENTE-008"/>
    <n v="250"/>
    <s v="PROFESOR-002"/>
    <n v="120"/>
    <d v="2020-03-02T00:00:00"/>
    <x v="2"/>
    <x v="2"/>
    <x v="1"/>
    <s v="COMERCIAL-004"/>
    <n v="12.5"/>
    <x v="0"/>
    <x v="0"/>
    <s v="VALLADOLID"/>
    <s v="SI"/>
  </r>
  <r>
    <s v="COD-264"/>
    <x v="1"/>
    <n v="45"/>
    <s v="CLIENTE-003"/>
    <n v="1125"/>
    <s v="PROFESOR-001"/>
    <n v="540"/>
    <d v="2019-09-26T00:00:00"/>
    <x v="0"/>
    <x v="1"/>
    <x v="2"/>
    <s v="COMERCIAL-001"/>
    <n v="56.25"/>
    <x v="1"/>
    <x v="1"/>
    <s v="MILAN"/>
    <s v="SI"/>
  </r>
  <r>
    <s v="COD-265"/>
    <x v="1"/>
    <n v="25"/>
    <s v="CLIENTE-005"/>
    <n v="625"/>
    <s v="PROFESOR-004"/>
    <n v="300"/>
    <d v="2019-12-19T00:00:00"/>
    <x v="8"/>
    <x v="1"/>
    <x v="2"/>
    <s v="COMERCIAL-003"/>
    <n v="31.25"/>
    <x v="1"/>
    <x v="2"/>
    <s v="MARSELLA"/>
    <s v="SI"/>
  </r>
  <r>
    <s v="COD-266"/>
    <x v="1"/>
    <n v="20"/>
    <s v="CLIENTE-006"/>
    <n v="500"/>
    <s v="PROFESOR-003"/>
    <n v="240"/>
    <d v="2021-12-24T00:00:00"/>
    <x v="8"/>
    <x v="0"/>
    <x v="2"/>
    <s v="COMERCIAL-002"/>
    <n v="25"/>
    <x v="0"/>
    <x v="2"/>
    <s v="MARSELLA"/>
    <s v="SI"/>
  </r>
  <r>
    <s v="COD-267"/>
    <x v="0"/>
    <n v="10"/>
    <s v="CLIENTE-004"/>
    <n v="750"/>
    <s v="PROFESOR-002"/>
    <n v="120"/>
    <d v="2021-07-03T00:00:00"/>
    <x v="4"/>
    <x v="0"/>
    <x v="1"/>
    <s v="COMERCIAL-004"/>
    <n v="112.5"/>
    <x v="1"/>
    <x v="0"/>
    <s v="VALLADOLID"/>
    <s v="SI"/>
  </r>
  <r>
    <s v="COD-268"/>
    <x v="0"/>
    <n v="12"/>
    <s v="CLIENTE-007"/>
    <n v="720"/>
    <s v="PROFESOR-001"/>
    <n v="144"/>
    <d v="2020-06-15T00:00:00"/>
    <x v="11"/>
    <x v="2"/>
    <x v="1"/>
    <s v="COMERCIAL-001"/>
    <n v="86.4"/>
    <x v="0"/>
    <x v="0"/>
    <s v="VALLADOLID"/>
    <s v="SI"/>
  </r>
  <r>
    <s v="COD-269"/>
    <x v="0"/>
    <n v="15"/>
    <s v="CLIENTE-007"/>
    <n v="900"/>
    <s v="PROFESOR-004"/>
    <n v="180"/>
    <d v="2019-07-03T00:00:00"/>
    <x v="4"/>
    <x v="1"/>
    <x v="1"/>
    <s v="COMERCIAL-002"/>
    <n v="108"/>
    <x v="0"/>
    <x v="0"/>
    <s v="VALENCIA"/>
    <s v="SI"/>
  </r>
  <r>
    <s v="COD-270"/>
    <x v="0"/>
    <n v="20"/>
    <s v="CLIENTE-006"/>
    <n v="500"/>
    <s v="PROFESOR-005"/>
    <n v="240"/>
    <d v="2020-05-16T00:00:00"/>
    <x v="9"/>
    <x v="2"/>
    <x v="1"/>
    <s v="COMERCIAL-004"/>
    <n v="35"/>
    <x v="0"/>
    <x v="2"/>
    <s v="MARSELLA"/>
    <s v="SI"/>
  </r>
  <r>
    <s v="COD-271"/>
    <x v="1"/>
    <n v="25"/>
    <s v="CLIENTE-005"/>
    <n v="750"/>
    <s v="PROFESOR-002"/>
    <n v="300"/>
    <d v="2020-04-12T00:00:00"/>
    <x v="5"/>
    <x v="2"/>
    <x v="2"/>
    <s v="COMERCIAL-001"/>
    <n v="60"/>
    <x v="0"/>
    <x v="2"/>
    <s v="MARSELLA"/>
    <s v="SI"/>
  </r>
  <r>
    <s v="COD-272"/>
    <x v="2"/>
    <n v="30"/>
    <s v="CLIENTE-008"/>
    <n v="900"/>
    <s v="PROFESOR-001"/>
    <n v="360"/>
    <d v="2020-10-28T00:00:00"/>
    <x v="6"/>
    <x v="2"/>
    <x v="2"/>
    <s v="COMERCIAL-003"/>
    <n v="72"/>
    <x v="0"/>
    <x v="0"/>
    <s v="VALENCIA"/>
    <s v="NO"/>
  </r>
  <r>
    <s v="COD-273"/>
    <x v="0"/>
    <n v="40"/>
    <s v="CLIENTE-008"/>
    <n v="1200"/>
    <s v="PROFESOR-004"/>
    <n v="480"/>
    <d v="2021-04-11T00:00:00"/>
    <x v="5"/>
    <x v="0"/>
    <x v="2"/>
    <s v="COMERCIAL-003"/>
    <n v="96"/>
    <x v="0"/>
    <x v="0"/>
    <s v="VALENCIA"/>
    <s v="SI"/>
  </r>
  <r>
    <s v="COD-274"/>
    <x v="0"/>
    <n v="35"/>
    <s v="CLIENTE-007"/>
    <n v="875"/>
    <s v="PROFESOR-005"/>
    <n v="420"/>
    <d v="2020-07-01T00:00:00"/>
    <x v="4"/>
    <x v="2"/>
    <x v="2"/>
    <s v="COMERCIAL-002"/>
    <n v="43.75"/>
    <x v="0"/>
    <x v="0"/>
    <s v="VALENCIA"/>
    <s v="SI"/>
  </r>
  <r>
    <s v="COD-275"/>
    <x v="0"/>
    <n v="45"/>
    <s v="CLIENTE-005"/>
    <n v="1125"/>
    <s v="PROFESOR-002"/>
    <n v="540"/>
    <d v="2020-07-18T00:00:00"/>
    <x v="4"/>
    <x v="2"/>
    <x v="2"/>
    <s v="COMERCIAL-004"/>
    <n v="56.25"/>
    <x v="0"/>
    <x v="2"/>
    <s v="MARSELLA"/>
    <s v="SI"/>
  </r>
  <r>
    <s v="COD-276"/>
    <x v="1"/>
    <n v="18"/>
    <s v="CLIENTE-003"/>
    <n v="450"/>
    <s v="PROFESOR-001"/>
    <n v="216"/>
    <d v="2021-08-04T00:00:00"/>
    <x v="1"/>
    <x v="0"/>
    <x v="1"/>
    <s v="COMERCIAL-001"/>
    <n v="22.5"/>
    <x v="0"/>
    <x v="1"/>
    <s v="ROMA"/>
    <s v="SI"/>
  </r>
  <r>
    <s v="COD-277"/>
    <x v="1"/>
    <n v="10"/>
    <s v="CLIENTE-005"/>
    <n v="250"/>
    <s v="PROFESOR-004"/>
    <n v="120"/>
    <d v="2020-10-08T00:00:00"/>
    <x v="6"/>
    <x v="2"/>
    <x v="0"/>
    <s v="COMERCIAL-002"/>
    <n v="12.5"/>
    <x v="0"/>
    <x v="2"/>
    <s v="MARSELLA"/>
    <s v="SI"/>
  </r>
  <r>
    <s v="COD-278"/>
    <x v="1"/>
    <n v="12"/>
    <s v="CLIENTE-004"/>
    <n v="300"/>
    <s v="PROFESOR-005"/>
    <n v="144"/>
    <d v="2019-12-03T00:00:00"/>
    <x v="8"/>
    <x v="1"/>
    <x v="1"/>
    <s v="COMERCIAL-004"/>
    <n v="15"/>
    <x v="0"/>
    <x v="0"/>
    <s v="MADRID"/>
    <s v="SI"/>
  </r>
  <r>
    <s v="COD-279"/>
    <x v="3"/>
    <n v="15"/>
    <s v="CLIENTE-003"/>
    <n v="1125"/>
    <s v="PROFESOR-002"/>
    <n v="180"/>
    <d v="2019-05-19T00:00:00"/>
    <x v="9"/>
    <x v="1"/>
    <x v="0"/>
    <s v="COMERCIAL-001"/>
    <n v="168.75"/>
    <x v="0"/>
    <x v="1"/>
    <s v="ROMA"/>
    <s v="SI"/>
  </r>
  <r>
    <s v="COD-280"/>
    <x v="4"/>
    <n v="25"/>
    <s v="CLIENTE-005"/>
    <n v="1500"/>
    <s v="PROFESOR-001"/>
    <n v="300"/>
    <d v="2020-10-27T00:00:00"/>
    <x v="6"/>
    <x v="2"/>
    <x v="0"/>
    <s v="COMERCIAL-003"/>
    <n v="180"/>
    <x v="0"/>
    <x v="2"/>
    <s v="MARSELLA"/>
    <s v="SI"/>
  </r>
  <r>
    <s v="COD-281"/>
    <x v="6"/>
    <n v="15"/>
    <s v="CLIENTE-003"/>
    <n v="900"/>
    <s v="PROFESOR-004"/>
    <n v="180"/>
    <d v="2020-08-21T00:00:00"/>
    <x v="1"/>
    <x v="2"/>
    <x v="0"/>
    <s v="COMERCIAL-002"/>
    <n v="108"/>
    <x v="1"/>
    <x v="1"/>
    <s v="ROMA"/>
    <s v="SI"/>
  </r>
  <r>
    <s v="COD-282"/>
    <x v="6"/>
    <n v="10"/>
    <s v="CLIENTE-004"/>
    <n v="600"/>
    <s v="PROFESOR-003"/>
    <n v="120"/>
    <d v="2020-09-24T00:00:00"/>
    <x v="0"/>
    <x v="2"/>
    <x v="0"/>
    <s v="COMERCIAL-004"/>
    <n v="72"/>
    <x v="1"/>
    <x v="0"/>
    <s v="MADRID"/>
    <s v="SI"/>
  </r>
  <r>
    <s v="COD-283"/>
    <x v="2"/>
    <n v="12"/>
    <s v="CLIENTE-003"/>
    <n v="480"/>
    <s v="PROFESOR-002"/>
    <n v="144"/>
    <d v="2020-05-02T00:00:00"/>
    <x v="9"/>
    <x v="2"/>
    <x v="1"/>
    <s v="COMERCIAL-003"/>
    <n v="48"/>
    <x v="0"/>
    <x v="1"/>
    <s v="ROMA"/>
    <s v="SI"/>
  </r>
  <r>
    <s v="COD-284"/>
    <x v="2"/>
    <n v="15"/>
    <s v="CLIENTE-006"/>
    <n v="600"/>
    <s v="PROFESOR-001"/>
    <n v="180"/>
    <d v="2021-01-09T00:00:00"/>
    <x v="3"/>
    <x v="0"/>
    <x v="1"/>
    <s v="COMERCIAL-002"/>
    <n v="60"/>
    <x v="1"/>
    <x v="2"/>
    <s v="MARSELLA"/>
    <s v="SI"/>
  </r>
  <r>
    <s v="COD-285"/>
    <x v="2"/>
    <n v="25"/>
    <s v="CLIENTE-004"/>
    <n v="1000"/>
    <s v="PROFESOR-004"/>
    <n v="300"/>
    <d v="2020-06-28T00:00:00"/>
    <x v="11"/>
    <x v="2"/>
    <x v="1"/>
    <s v="COMERCIAL-004"/>
    <n v="100"/>
    <x v="0"/>
    <x v="0"/>
    <s v="MADRID"/>
    <s v="SI"/>
  </r>
  <r>
    <s v="COD-286"/>
    <x v="2"/>
    <n v="15"/>
    <s v="CLIENTE-007"/>
    <n v="600"/>
    <s v="PROFESOR-005"/>
    <n v="180"/>
    <d v="2020-09-30T00:00:00"/>
    <x v="0"/>
    <x v="2"/>
    <x v="2"/>
    <s v="COMERCIAL-001"/>
    <n v="60"/>
    <x v="0"/>
    <x v="0"/>
    <s v="MADRID"/>
    <s v="SI"/>
  </r>
  <r>
    <s v="COD-287"/>
    <x v="1"/>
    <n v="20"/>
    <s v="CLIENTE-005"/>
    <n v="600"/>
    <s v="PROFESOR-002"/>
    <n v="240"/>
    <d v="2019-12-03T00:00:00"/>
    <x v="8"/>
    <x v="1"/>
    <x v="2"/>
    <s v="COMERCIAL-003"/>
    <n v="48"/>
    <x v="0"/>
    <x v="2"/>
    <s v="MARSELLA"/>
    <s v="SI"/>
  </r>
  <r>
    <s v="COD-288"/>
    <x v="1"/>
    <n v="20"/>
    <s v="CLIENTE-006"/>
    <n v="600"/>
    <s v="PROFESOR-001"/>
    <n v="240"/>
    <d v="2021-10-20T00:00:00"/>
    <x v="6"/>
    <x v="0"/>
    <x v="2"/>
    <s v="COMERCIAL-002"/>
    <n v="48"/>
    <x v="0"/>
    <x v="2"/>
    <s v="PARIS"/>
    <s v="SI"/>
  </r>
  <r>
    <s v="COD-289"/>
    <x v="1"/>
    <n v="30"/>
    <s v="CLIENTE-008"/>
    <n v="900"/>
    <s v="PROFESOR-004"/>
    <n v="360"/>
    <d v="2019-09-14T00:00:00"/>
    <x v="0"/>
    <x v="1"/>
    <x v="2"/>
    <s v="COMERCIAL-004"/>
    <n v="72"/>
    <x v="0"/>
    <x v="0"/>
    <s v="MADRID"/>
    <s v="SI"/>
  </r>
  <r>
    <s v="COD-290"/>
    <x v="0"/>
    <n v="35"/>
    <s v="CLIENTE-003"/>
    <n v="875"/>
    <s v="PROFESOR-005"/>
    <n v="420"/>
    <d v="2021-05-25T00:00:00"/>
    <x v="9"/>
    <x v="0"/>
    <x v="2"/>
    <s v="COMERCIAL-001"/>
    <n v="61.25"/>
    <x v="0"/>
    <x v="1"/>
    <s v="ROMA"/>
    <s v="SI"/>
  </r>
  <r>
    <s v="COD-291"/>
    <x v="0"/>
    <n v="40"/>
    <s v="CLIENTE-005"/>
    <n v="1000"/>
    <s v="PROFESOR-002"/>
    <n v="480"/>
    <d v="2020-07-25T00:00:00"/>
    <x v="4"/>
    <x v="2"/>
    <x v="1"/>
    <s v="COMERCIAL-002"/>
    <n v="70"/>
    <x v="0"/>
    <x v="2"/>
    <s v="PARIS"/>
    <s v="SI"/>
  </r>
  <r>
    <s v="COD-292"/>
    <x v="0"/>
    <n v="40"/>
    <s v="CLIENTE-006"/>
    <n v="1000"/>
    <s v="PROFESOR-001"/>
    <n v="480"/>
    <d v="2020-07-06T00:00:00"/>
    <x v="4"/>
    <x v="2"/>
    <x v="2"/>
    <s v="COMERCIAL-004"/>
    <n v="70"/>
    <x v="0"/>
    <x v="2"/>
    <s v="PARIS"/>
    <s v="SI"/>
  </r>
  <r>
    <s v="COD-293"/>
    <x v="0"/>
    <n v="35"/>
    <s v="CLIENTE-004"/>
    <n v="875"/>
    <s v="PROFESOR-004"/>
    <n v="420"/>
    <d v="2021-08-21T00:00:00"/>
    <x v="1"/>
    <x v="0"/>
    <x v="2"/>
    <s v="COMERCIAL-001"/>
    <n v="61.25"/>
    <x v="0"/>
    <x v="0"/>
    <s v="MADRID"/>
    <s v="SI"/>
  </r>
  <r>
    <s v="COD-294"/>
    <x v="1"/>
    <n v="10"/>
    <s v="CLIENTE-007"/>
    <n v="300"/>
    <s v="PROFESOR-003"/>
    <n v="120"/>
    <d v="2021-02-15T00:00:00"/>
    <x v="7"/>
    <x v="0"/>
    <x v="2"/>
    <s v="COMERCIAL-003"/>
    <n v="24"/>
    <x v="0"/>
    <x v="0"/>
    <s v="MADRID"/>
    <s v="SI"/>
  </r>
  <r>
    <s v="COD-295"/>
    <x v="2"/>
    <n v="12"/>
    <s v="CLIENTE-007"/>
    <n v="480"/>
    <s v="PROFESOR-002"/>
    <n v="144"/>
    <d v="2019-01-31T00:00:00"/>
    <x v="3"/>
    <x v="1"/>
    <x v="1"/>
    <s v="COMERCIAL-002"/>
    <n v="48"/>
    <x v="0"/>
    <x v="0"/>
    <s v="MADRID"/>
    <s v="SI"/>
  </r>
  <r>
    <s v="COD-296"/>
    <x v="0"/>
    <n v="15"/>
    <s v="CLIENTE-006"/>
    <n v="375"/>
    <s v="PROFESOR-001"/>
    <n v="180"/>
    <d v="2021-03-30T00:00:00"/>
    <x v="2"/>
    <x v="0"/>
    <x v="1"/>
    <s v="COMERCIAL-004"/>
    <n v="26.25"/>
    <x v="0"/>
    <x v="2"/>
    <s v="PARIS"/>
    <s v="SI"/>
  </r>
  <r>
    <s v="COD-297"/>
    <x v="0"/>
    <n v="25"/>
    <s v="CLIENTE-005"/>
    <n v="625"/>
    <s v="PROFESOR-001"/>
    <n v="300"/>
    <d v="2021-08-02T00:00:00"/>
    <x v="1"/>
    <x v="0"/>
    <x v="1"/>
    <s v="COMERCIAL-003"/>
    <n v="43.75"/>
    <x v="0"/>
    <x v="2"/>
    <s v="PARIS"/>
    <s v="SI"/>
  </r>
  <r>
    <s v="COD-298"/>
    <x v="0"/>
    <n v="15"/>
    <s v="CLIENTE-008"/>
    <n v="375"/>
    <s v="PROFESOR-004"/>
    <n v="180"/>
    <d v="2021-04-10T00:00:00"/>
    <x v="5"/>
    <x v="0"/>
    <x v="1"/>
    <s v="COMERCIAL-002"/>
    <n v="26.25"/>
    <x v="0"/>
    <x v="0"/>
    <s v="MADRID"/>
    <s v="SI"/>
  </r>
  <r>
    <s v="COD-299"/>
    <x v="1"/>
    <n v="10"/>
    <s v="CLIENTE-003"/>
    <n v="300"/>
    <s v="PROFESOR-005"/>
    <n v="120"/>
    <d v="2021-06-07T00:00:00"/>
    <x v="11"/>
    <x v="0"/>
    <x v="2"/>
    <s v="COMERCIAL-004"/>
    <n v="24"/>
    <x v="1"/>
    <x v="1"/>
    <s v="ROMA"/>
    <s v="SI"/>
  </r>
  <r>
    <s v="COD-300"/>
    <x v="1"/>
    <n v="12"/>
    <s v="CLIENTE-005"/>
    <n v="360"/>
    <s v="PROFESOR-002"/>
    <n v="144"/>
    <d v="2021-09-10T00:00:00"/>
    <x v="0"/>
    <x v="0"/>
    <x v="2"/>
    <s v="COMERCIAL-001"/>
    <n v="28.8"/>
    <x v="1"/>
    <x v="2"/>
    <s v="PARIS"/>
    <s v="SI"/>
  </r>
  <r>
    <s v="COD-301"/>
    <x v="1"/>
    <n v="15"/>
    <s v="CLIENTE-003"/>
    <n v="450"/>
    <s v="PROFESOR-001"/>
    <n v="180"/>
    <d v="2021-12-26T00:00:00"/>
    <x v="8"/>
    <x v="0"/>
    <x v="2"/>
    <s v="COMERCIAL-002"/>
    <n v="36"/>
    <x v="1"/>
    <x v="1"/>
    <s v="ROMA"/>
    <s v="SI"/>
  </r>
  <r>
    <s v="COD-302"/>
    <x v="3"/>
    <n v="25"/>
    <s v="CLIENTE-004"/>
    <n v="625"/>
    <s v="PROFESOR-004"/>
    <n v="300"/>
    <d v="2019-04-05T00:00:00"/>
    <x v="5"/>
    <x v="1"/>
    <x v="2"/>
    <s v="COMERCIAL-004"/>
    <n v="31.25"/>
    <x v="1"/>
    <x v="0"/>
    <s v="MADRID"/>
    <s v="SI"/>
  </r>
  <r>
    <s v="COD-303"/>
    <x v="4"/>
    <n v="15"/>
    <s v="CLIENTE-003"/>
    <n v="375"/>
    <s v="PROFESOR-003"/>
    <n v="180"/>
    <d v="2019-06-02T00:00:00"/>
    <x v="11"/>
    <x v="1"/>
    <x v="2"/>
    <s v="COMERCIAL-001"/>
    <n v="18.75"/>
    <x v="0"/>
    <x v="1"/>
    <s v="ROMA"/>
    <s v="NO"/>
  </r>
  <r>
    <s v="COD-304"/>
    <x v="4"/>
    <n v="20"/>
    <s v="CLIENTE-006"/>
    <n v="500"/>
    <s v="PROFESOR-002"/>
    <n v="240"/>
    <d v="2019-07-16T00:00:00"/>
    <x v="4"/>
    <x v="1"/>
    <x v="1"/>
    <s v="COMERCIAL-003"/>
    <n v="25"/>
    <x v="0"/>
    <x v="2"/>
    <s v="PARIS"/>
    <s v="SI"/>
  </r>
  <r>
    <s v="COD-305"/>
    <x v="4"/>
    <n v="20"/>
    <s v="CLIENTE-004"/>
    <n v="500"/>
    <s v="PROFESOR-001"/>
    <n v="240"/>
    <d v="2020-06-19T00:00:00"/>
    <x v="11"/>
    <x v="2"/>
    <x v="0"/>
    <s v="COMERCIAL-002"/>
    <n v="25"/>
    <x v="0"/>
    <x v="0"/>
    <s v="MADRID"/>
    <s v="SI"/>
  </r>
  <r>
    <s v="COD-306"/>
    <x v="3"/>
    <n v="30"/>
    <s v="CLIENTE-007"/>
    <n v="750"/>
    <s v="PROFESOR-004"/>
    <n v="360"/>
    <d v="2021-05-07T00:00:00"/>
    <x v="9"/>
    <x v="0"/>
    <x v="1"/>
    <s v="COMERCIAL-004"/>
    <n v="37.5"/>
    <x v="0"/>
    <x v="0"/>
    <s v="VALLADOLID"/>
    <s v="SI"/>
  </r>
  <r>
    <s v="COD-307"/>
    <x v="5"/>
    <n v="35"/>
    <s v="CLIENTE-005"/>
    <n v="2625"/>
    <s v="PROFESOR-005"/>
    <n v="420"/>
    <d v="2019-03-03T00:00:00"/>
    <x v="2"/>
    <x v="1"/>
    <x v="0"/>
    <s v="COMERCIAL-001"/>
    <n v="393.75"/>
    <x v="1"/>
    <x v="2"/>
    <s v="PARIS"/>
    <s v="SI"/>
  </r>
  <r>
    <s v="COD-308"/>
    <x v="6"/>
    <n v="40"/>
    <s v="CLIENTE-006"/>
    <n v="2400"/>
    <s v="PROFESOR-002"/>
    <n v="480"/>
    <d v="2019-08-31T00:00:00"/>
    <x v="1"/>
    <x v="1"/>
    <x v="0"/>
    <s v="COMERCIAL-003"/>
    <n v="288"/>
    <x v="1"/>
    <x v="2"/>
    <s v="PARIS"/>
    <s v="SI"/>
  </r>
  <r>
    <s v="COD-309"/>
    <x v="6"/>
    <n v="40"/>
    <s v="CLIENTE-008"/>
    <n v="2400"/>
    <s v="PROFESOR-001"/>
    <n v="480"/>
    <d v="2021-10-11T00:00:00"/>
    <x v="6"/>
    <x v="0"/>
    <x v="0"/>
    <s v="COMERCIAL-002"/>
    <n v="288"/>
    <x v="0"/>
    <x v="0"/>
    <s v="VALLADOLID"/>
    <s v="SI"/>
  </r>
  <r>
    <s v="COD-310"/>
    <x v="6"/>
    <n v="35"/>
    <s v="CLIENTE-003"/>
    <n v="2100"/>
    <s v="PROFESOR-004"/>
    <n v="420"/>
    <d v="2021-05-21T00:00:00"/>
    <x v="9"/>
    <x v="0"/>
    <x v="0"/>
    <s v="COMERCIAL-004"/>
    <n v="252"/>
    <x v="1"/>
    <x v="1"/>
    <s v="ROMA"/>
    <s v="SI"/>
  </r>
  <r>
    <s v="COD-311"/>
    <x v="2"/>
    <n v="45"/>
    <s v="CLIENTE-005"/>
    <n v="1800"/>
    <s v="PROFESOR-005"/>
    <n v="540"/>
    <d v="2021-08-17T00:00:00"/>
    <x v="1"/>
    <x v="0"/>
    <x v="1"/>
    <s v="COMERCIAL-001"/>
    <n v="180"/>
    <x v="1"/>
    <x v="2"/>
    <s v="PARIS"/>
    <s v="SI"/>
  </r>
  <r>
    <s v="COD-312"/>
    <x v="0"/>
    <n v="25"/>
    <s v="CLIENTE-006"/>
    <n v="625"/>
    <s v="PROFESOR-002"/>
    <n v="300"/>
    <d v="2021-07-23T00:00:00"/>
    <x v="4"/>
    <x v="0"/>
    <x v="1"/>
    <s v="COMERCIAL-002"/>
    <n v="43.75"/>
    <x v="0"/>
    <x v="2"/>
    <s v="PARIS"/>
    <s v="SI"/>
  </r>
  <r>
    <s v="COD-313"/>
    <x v="0"/>
    <n v="20"/>
    <s v="CLIENTE-004"/>
    <n v="500"/>
    <s v="PROFESOR-001"/>
    <n v="240"/>
    <d v="2020-08-26T00:00:00"/>
    <x v="1"/>
    <x v="2"/>
    <x v="0"/>
    <s v="COMERCIAL-004"/>
    <n v="35"/>
    <x v="1"/>
    <x v="0"/>
    <s v="VALLADOLID"/>
    <s v="SI"/>
  </r>
  <r>
    <s v="COD-314"/>
    <x v="0"/>
    <n v="10"/>
    <s v="CLIENTE-007"/>
    <n v="250"/>
    <s v="PROFESOR-003"/>
    <n v="120"/>
    <d v="2019-01-03T00:00:00"/>
    <x v="3"/>
    <x v="1"/>
    <x v="1"/>
    <s v="COMERCIAL-001"/>
    <n v="17.5"/>
    <x v="0"/>
    <x v="0"/>
    <s v="VALENCIA"/>
    <s v="SI"/>
  </r>
  <r>
    <s v="COD-315"/>
    <x v="1"/>
    <n v="12"/>
    <s v="CLIENTE-007"/>
    <n v="360"/>
    <s v="PROFESOR-002"/>
    <n v="144"/>
    <d v="2021-08-01T00:00:00"/>
    <x v="1"/>
    <x v="0"/>
    <x v="0"/>
    <s v="COMERCIAL-003"/>
    <n v="28.8"/>
    <x v="0"/>
    <x v="0"/>
    <s v="VALENCIA"/>
    <s v="SI"/>
  </r>
  <r>
    <s v="COD-316"/>
    <x v="1"/>
    <n v="15"/>
    <s v="CLIENTE-006"/>
    <n v="450"/>
    <s v="PROFESOR-001"/>
    <n v="180"/>
    <d v="2019-01-06T00:00:00"/>
    <x v="3"/>
    <x v="1"/>
    <x v="0"/>
    <s v="COMERCIAL-002"/>
    <n v="36"/>
    <x v="1"/>
    <x v="2"/>
    <s v="PARIS"/>
    <s v="SI"/>
  </r>
  <r>
    <s v="COD-317"/>
    <x v="1"/>
    <n v="20"/>
    <s v="CLIENTE-005"/>
    <n v="600"/>
    <s v="PROFESOR-004"/>
    <n v="240"/>
    <d v="2021-02-03T00:00:00"/>
    <x v="7"/>
    <x v="0"/>
    <x v="0"/>
    <s v="COMERCIAL-004"/>
    <n v="48"/>
    <x v="1"/>
    <x v="2"/>
    <s v="PARIS"/>
    <s v="SI"/>
  </r>
  <r>
    <s v="COD-318"/>
    <x v="3"/>
    <n v="25"/>
    <s v="CLIENTE-008"/>
    <n v="625"/>
    <s v="PROFESOR-005"/>
    <n v="300"/>
    <d v="2019-10-30T00:00:00"/>
    <x v="6"/>
    <x v="1"/>
    <x v="0"/>
    <s v="COMERCIAL-003"/>
    <n v="31.25"/>
    <x v="0"/>
    <x v="0"/>
    <s v="VALENCIA"/>
    <s v="SI"/>
  </r>
  <r>
    <s v="COD-319"/>
    <x v="4"/>
    <n v="30"/>
    <s v="CLIENTE-008"/>
    <n v="750"/>
    <s v="PROFESOR-002"/>
    <n v="360"/>
    <d v="2020-04-14T00:00:00"/>
    <x v="5"/>
    <x v="2"/>
    <x v="1"/>
    <s v="COMERCIAL-002"/>
    <n v="37.5"/>
    <x v="0"/>
    <x v="0"/>
    <s v="VALENCIA"/>
    <s v="SI"/>
  </r>
  <r>
    <s v="COD-320"/>
    <x v="4"/>
    <n v="40"/>
    <s v="CLIENTE-007"/>
    <n v="1000"/>
    <s v="PROFESOR-001"/>
    <n v="480"/>
    <d v="2019-06-24T00:00:00"/>
    <x v="11"/>
    <x v="1"/>
    <x v="1"/>
    <s v="COMERCIAL-004"/>
    <n v="50"/>
    <x v="0"/>
    <x v="0"/>
    <s v="VALENCIA"/>
    <s v="SI"/>
  </r>
  <r>
    <s v="COD-321"/>
    <x v="4"/>
    <n v="35"/>
    <s v="CLIENTE-005"/>
    <n v="875"/>
    <s v="PROFESOR-004"/>
    <n v="420"/>
    <d v="2020-09-20T00:00:00"/>
    <x v="0"/>
    <x v="2"/>
    <x v="1"/>
    <s v="COMERCIAL-001"/>
    <n v="43.75"/>
    <x v="0"/>
    <x v="2"/>
    <s v="MARSELLA"/>
    <s v="NO"/>
  </r>
  <r>
    <s v="COD-322"/>
    <x v="3"/>
    <n v="45"/>
    <s v="CLIENTE-003"/>
    <n v="1125"/>
    <s v="PROFESOR-003"/>
    <n v="540"/>
    <d v="2020-01-23T00:00:00"/>
    <x v="3"/>
    <x v="2"/>
    <x v="1"/>
    <s v="COMERCIAL-003"/>
    <n v="56.25"/>
    <x v="1"/>
    <x v="1"/>
    <s v="ROMA"/>
    <s v="NO"/>
  </r>
  <r>
    <s v="COD-323"/>
    <x v="5"/>
    <n v="18"/>
    <s v="CLIENTE-005"/>
    <n v="1350"/>
    <s v="PROFESOR-002"/>
    <n v="216"/>
    <d v="2019-10-11T00:00:00"/>
    <x v="6"/>
    <x v="1"/>
    <x v="2"/>
    <s v="COMERCIAL-002"/>
    <n v="202.5"/>
    <x v="0"/>
    <x v="2"/>
    <s v="MARSELLA"/>
    <s v="SI"/>
  </r>
  <r>
    <s v="COD-324"/>
    <x v="6"/>
    <n v="10"/>
    <s v="CLIENTE-004"/>
    <n v="600"/>
    <s v="PROFESOR-001"/>
    <n v="120"/>
    <d v="2020-12-20T00:00:00"/>
    <x v="8"/>
    <x v="2"/>
    <x v="2"/>
    <s v="COMERCIAL-004"/>
    <n v="72"/>
    <x v="0"/>
    <x v="0"/>
    <s v="VALENCIA"/>
    <s v="SI"/>
  </r>
  <r>
    <s v="COD-325"/>
    <x v="6"/>
    <n v="45"/>
    <s v="CLIENTE-003"/>
    <n v="2700"/>
    <s v="PROFESOR-004"/>
    <n v="540"/>
    <d v="2021-07-03T00:00:00"/>
    <x v="4"/>
    <x v="0"/>
    <x v="2"/>
    <s v="COMERCIAL-001"/>
    <n v="324"/>
    <x v="0"/>
    <x v="1"/>
    <s v="ROMA"/>
    <s v="NO"/>
  </r>
  <r>
    <s v="COD-326"/>
    <x v="6"/>
    <n v="25"/>
    <s v="CLIENTE-005"/>
    <n v="1500"/>
    <s v="PROFESOR-005"/>
    <n v="300"/>
    <d v="2020-11-07T00:00:00"/>
    <x v="10"/>
    <x v="2"/>
    <x v="1"/>
    <s v="COMERCIAL-002"/>
    <n v="180"/>
    <x v="0"/>
    <x v="2"/>
    <s v="MARSELLA"/>
    <s v="SI"/>
  </r>
  <r>
    <s v="COD-327"/>
    <x v="2"/>
    <n v="20"/>
    <s v="CLIENTE-003"/>
    <n v="800"/>
    <s v="PROFESOR-002"/>
    <n v="240"/>
    <d v="2020-04-12T00:00:00"/>
    <x v="5"/>
    <x v="2"/>
    <x v="1"/>
    <s v="COMERCIAL-004"/>
    <n v="80"/>
    <x v="0"/>
    <x v="1"/>
    <s v="ROMA"/>
    <s v="SI"/>
  </r>
  <r>
    <s v="COD-328"/>
    <x v="2"/>
    <n v="10"/>
    <s v="CLIENTE-004"/>
    <n v="400"/>
    <s v="PROFESOR-001"/>
    <n v="120"/>
    <d v="2020-02-16T00:00:00"/>
    <x v="7"/>
    <x v="2"/>
    <x v="1"/>
    <s v="COMERCIAL-001"/>
    <n v="40"/>
    <x v="0"/>
    <x v="0"/>
    <s v="VALENCIA"/>
    <s v="NO"/>
  </r>
  <r>
    <s v="COD-329"/>
    <x v="2"/>
    <n v="12"/>
    <s v="CLIENTE-003"/>
    <n v="480"/>
    <s v="PROFESOR-003"/>
    <n v="144"/>
    <d v="2020-05-20T00:00:00"/>
    <x v="9"/>
    <x v="2"/>
    <x v="1"/>
    <s v="COMERCIAL-003"/>
    <n v="48"/>
    <x v="0"/>
    <x v="1"/>
    <s v="ROMA"/>
    <s v="NO"/>
  </r>
  <r>
    <s v="COD-330"/>
    <x v="2"/>
    <n v="15"/>
    <s v="CLIENTE-006"/>
    <n v="600"/>
    <s v="PROFESOR-002"/>
    <n v="180"/>
    <d v="2019-08-27T00:00:00"/>
    <x v="1"/>
    <x v="1"/>
    <x v="2"/>
    <s v="COMERCIAL-002"/>
    <n v="60"/>
    <x v="0"/>
    <x v="2"/>
    <s v="MARSELLA"/>
    <s v="SI"/>
  </r>
  <r>
    <s v="COD-331"/>
    <x v="1"/>
    <n v="20"/>
    <s v="CLIENTE-001"/>
    <n v="600"/>
    <s v="PROFESOR-001"/>
    <n v="240"/>
    <d v="2019-01-22T00:00:00"/>
    <x v="3"/>
    <x v="1"/>
    <x v="2"/>
    <s v="COMERCIAL-004"/>
    <n v="48"/>
    <x v="0"/>
    <x v="0"/>
    <s v="VALENCIA"/>
    <s v="SI"/>
  </r>
  <r>
    <s v="COD-332"/>
    <x v="1"/>
    <n v="25"/>
    <s v="CLIENTE-002"/>
    <n v="750"/>
    <s v="PROFESOR-004"/>
    <n v="300"/>
    <d v="2019-10-02T00:00:00"/>
    <x v="6"/>
    <x v="1"/>
    <x v="2"/>
    <s v="COMERCIAL-003"/>
    <n v="60"/>
    <x v="0"/>
    <x v="1"/>
    <s v="ROMA"/>
    <s v="NO"/>
  </r>
  <r>
    <s v="COD-333"/>
    <x v="1"/>
    <n v="30"/>
    <s v="CLIENTE-004"/>
    <n v="900"/>
    <s v="PROFESOR-005"/>
    <n v="360"/>
    <d v="2020-03-31T00:00:00"/>
    <x v="2"/>
    <x v="2"/>
    <x v="2"/>
    <s v="COMERCIAL-002"/>
    <n v="72"/>
    <x v="0"/>
    <x v="0"/>
    <s v="VALLADOLID"/>
    <s v="SI"/>
  </r>
  <r>
    <s v="COD-334"/>
    <x v="0"/>
    <n v="40"/>
    <s v="CLIENTE-003"/>
    <n v="1000"/>
    <s v="PROFESOR-002"/>
    <n v="480"/>
    <d v="2019-04-24T00:00:00"/>
    <x v="5"/>
    <x v="1"/>
    <x v="2"/>
    <s v="COMERCIAL-004"/>
    <n v="70"/>
    <x v="0"/>
    <x v="1"/>
    <s v="ROMA"/>
    <s v="SI"/>
  </r>
  <r>
    <s v="COD-335"/>
    <x v="0"/>
    <n v="35"/>
    <s v="CLIENTE-005"/>
    <n v="875"/>
    <s v="PROFESOR-001"/>
    <n v="420"/>
    <d v="2021-07-27T00:00:00"/>
    <x v="4"/>
    <x v="0"/>
    <x v="1"/>
    <s v="COMERCIAL-001"/>
    <n v="61.25"/>
    <x v="0"/>
    <x v="2"/>
    <s v="MARSELLA"/>
    <s v="NO"/>
  </r>
  <r>
    <s v="COD-336"/>
    <x v="0"/>
    <n v="12"/>
    <s v="CLIENTE-003"/>
    <n v="300"/>
    <s v="PROFESOR-004"/>
    <n v="144"/>
    <d v="2021-04-11T00:00:00"/>
    <x v="5"/>
    <x v="0"/>
    <x v="0"/>
    <s v="COMERCIAL-003"/>
    <n v="21"/>
    <x v="1"/>
    <x v="1"/>
    <s v="ROMA"/>
    <s v="SI"/>
  </r>
  <r>
    <s v="COD-337"/>
    <x v="0"/>
    <n v="15"/>
    <s v="CLIENTE-004"/>
    <n v="375"/>
    <s v="PROFESOR-003"/>
    <n v="180"/>
    <d v="2020-12-11T00:00:00"/>
    <x v="8"/>
    <x v="2"/>
    <x v="1"/>
    <s v="COMERCIAL-002"/>
    <n v="26.25"/>
    <x v="1"/>
    <x v="0"/>
    <s v="VALLADOLID"/>
    <s v="SI"/>
  </r>
  <r>
    <s v="COD-338"/>
    <x v="1"/>
    <n v="25"/>
    <s v="CLIENTE-003"/>
    <n v="750"/>
    <s v="PROFESOR-002"/>
    <n v="300"/>
    <d v="2020-07-24T00:00:00"/>
    <x v="4"/>
    <x v="2"/>
    <x v="0"/>
    <s v="COMERCIAL-004"/>
    <n v="60"/>
    <x v="1"/>
    <x v="1"/>
    <s v="ROMA"/>
    <s v="SI"/>
  </r>
  <r>
    <s v="COD-339"/>
    <x v="2"/>
    <n v="15"/>
    <s v="CLIENTE-006"/>
    <n v="600"/>
    <s v="PROFESOR-001"/>
    <n v="180"/>
    <d v="2019-07-11T00:00:00"/>
    <x v="4"/>
    <x v="1"/>
    <x v="0"/>
    <s v="COMERCIAL-001"/>
    <n v="60"/>
    <x v="1"/>
    <x v="2"/>
    <s v="MARSELLA"/>
    <s v="SI"/>
  </r>
  <r>
    <s v="COD-340"/>
    <x v="0"/>
    <n v="20"/>
    <s v="CLIENTE-004"/>
    <n v="500"/>
    <s v="PROFESOR-004"/>
    <n v="240"/>
    <d v="2020-05-18T00:00:00"/>
    <x v="9"/>
    <x v="2"/>
    <x v="0"/>
    <s v="COMERCIAL-002"/>
    <n v="35"/>
    <x v="1"/>
    <x v="0"/>
    <s v="VALLADOLID"/>
    <s v="SI"/>
  </r>
  <r>
    <s v="COD-341"/>
    <x v="0"/>
    <n v="20"/>
    <s v="CLIENTE-007"/>
    <n v="500"/>
    <s v="PROFESOR-005"/>
    <n v="240"/>
    <d v="2021-10-03T00:00:00"/>
    <x v="6"/>
    <x v="0"/>
    <x v="0"/>
    <s v="COMERCIAL-004"/>
    <n v="35"/>
    <x v="0"/>
    <x v="0"/>
    <s v="VALLADOLID"/>
    <s v="SI"/>
  </r>
  <r>
    <s v="COD-342"/>
    <x v="0"/>
    <n v="30"/>
    <s v="CLIENTE-005"/>
    <n v="750"/>
    <s v="PROFESOR-002"/>
    <n v="360"/>
    <d v="2019-08-21T00:00:00"/>
    <x v="1"/>
    <x v="1"/>
    <x v="1"/>
    <s v="COMERCIAL-001"/>
    <n v="52.5"/>
    <x v="0"/>
    <x v="2"/>
    <s v="MARSELLA"/>
    <s v="SI"/>
  </r>
  <r>
    <s v="COD-343"/>
    <x v="1"/>
    <n v="35"/>
    <s v="CLIENTE-006"/>
    <n v="1050"/>
    <s v="PROFESOR-001"/>
    <n v="420"/>
    <d v="2020-03-24T00:00:00"/>
    <x v="2"/>
    <x v="2"/>
    <x v="1"/>
    <s v="COMERCIAL-003"/>
    <n v="84"/>
    <x v="0"/>
    <x v="2"/>
    <s v="MARSELLA"/>
    <s v="SI"/>
  </r>
  <r>
    <s v="COD-344"/>
    <x v="1"/>
    <n v="40"/>
    <s v="CLIENTE-001"/>
    <n v="1200"/>
    <s v="PROFESOR-004"/>
    <n v="480"/>
    <d v="2020-05-04T00:00:00"/>
    <x v="9"/>
    <x v="2"/>
    <x v="1"/>
    <s v="COMERCIAL-002"/>
    <n v="96"/>
    <x v="0"/>
    <x v="0"/>
    <s v="VALENCIA"/>
    <s v="SI"/>
  </r>
  <r>
    <s v="COD-345"/>
    <x v="1"/>
    <n v="40"/>
    <s v="CLIENTE-002"/>
    <n v="1200"/>
    <s v="PROFESOR-005"/>
    <n v="480"/>
    <d v="2020-02-01T00:00:00"/>
    <x v="7"/>
    <x v="2"/>
    <x v="1"/>
    <s v="COMERCIAL-004"/>
    <n v="96"/>
    <x v="1"/>
    <x v="1"/>
    <s v="ROMA"/>
    <s v="SI"/>
  </r>
  <r>
    <s v="COD-346"/>
    <x v="3"/>
    <n v="35"/>
    <s v="CLIENTE-004"/>
    <n v="875"/>
    <s v="PROFESOR-002"/>
    <n v="420"/>
    <d v="2019-10-11T00:00:00"/>
    <x v="6"/>
    <x v="1"/>
    <x v="2"/>
    <s v="COMERCIAL-003"/>
    <n v="43.75"/>
    <x v="1"/>
    <x v="0"/>
    <s v="VALENCIA"/>
    <s v="SI"/>
  </r>
  <r>
    <s v="COD-347"/>
    <x v="4"/>
    <n v="45"/>
    <s v="CLIENTE-003"/>
    <n v="1125"/>
    <s v="PROFESOR-001"/>
    <n v="540"/>
    <d v="2021-12-10T00:00:00"/>
    <x v="8"/>
    <x v="0"/>
    <x v="2"/>
    <s v="COMERCIAL-002"/>
    <n v="56.25"/>
    <x v="1"/>
    <x v="1"/>
    <s v="ROMA"/>
    <s v="SI"/>
  </r>
  <r>
    <s v="COD-348"/>
    <x v="4"/>
    <n v="25"/>
    <s v="CLIENTE-005"/>
    <n v="625"/>
    <s v="PROFESOR-004"/>
    <n v="300"/>
    <d v="2021-07-06T00:00:00"/>
    <x v="4"/>
    <x v="0"/>
    <x v="2"/>
    <s v="COMERCIAL-004"/>
    <n v="31.25"/>
    <x v="1"/>
    <x v="2"/>
    <s v="MARSELLA"/>
    <s v="SI"/>
  </r>
  <r>
    <s v="COD-349"/>
    <x v="4"/>
    <n v="20"/>
    <s v="CLIENTE-003"/>
    <n v="500"/>
    <s v="PROFESOR-003"/>
    <n v="240"/>
    <d v="2020-09-14T00:00:00"/>
    <x v="0"/>
    <x v="2"/>
    <x v="1"/>
    <s v="COMERCIAL-001"/>
    <n v="25"/>
    <x v="1"/>
    <x v="1"/>
    <s v="ROMA"/>
    <s v="SI"/>
  </r>
  <r>
    <s v="COD-350"/>
    <x v="3"/>
    <n v="10"/>
    <s v="CLIENTE-004"/>
    <n v="250"/>
    <s v="PROFESOR-002"/>
    <n v="120"/>
    <d v="2019-04-16T00:00:00"/>
    <x v="5"/>
    <x v="1"/>
    <x v="1"/>
    <s v="COMERCIAL-002"/>
    <n v="12.5"/>
    <x v="0"/>
    <x v="0"/>
    <s v="VALENCIA"/>
    <s v="SI"/>
  </r>
  <r>
    <s v="COD-351"/>
    <x v="5"/>
    <n v="12"/>
    <s v="CLIENTE-003"/>
    <n v="900"/>
    <s v="PROFESOR-004"/>
    <n v="144"/>
    <d v="2021-01-16T00:00:00"/>
    <x v="3"/>
    <x v="0"/>
    <x v="1"/>
    <s v="COMERCIAL-004"/>
    <n v="135"/>
    <x v="1"/>
    <x v="1"/>
    <s v="ROMA"/>
    <s v="SI"/>
  </r>
  <r>
    <s v="COD-352"/>
    <x v="6"/>
    <n v="15"/>
    <s v="CLIENTE-006"/>
    <n v="900"/>
    <s v="PROFESOR-003"/>
    <n v="180"/>
    <d v="2019-05-02T00:00:00"/>
    <x v="9"/>
    <x v="1"/>
    <x v="1"/>
    <s v="COMERCIAL-001"/>
    <n v="108"/>
    <x v="0"/>
    <x v="2"/>
    <s v="MARSELLA"/>
    <s v="SI"/>
  </r>
  <r>
    <s v="COD-353"/>
    <x v="6"/>
    <n v="20"/>
    <s v="CLIENTE-004"/>
    <n v="1200"/>
    <s v="PROFESOR-002"/>
    <n v="240"/>
    <d v="2019-10-15T00:00:00"/>
    <x v="6"/>
    <x v="1"/>
    <x v="2"/>
    <s v="COMERCIAL-003"/>
    <n v="144"/>
    <x v="0"/>
    <x v="0"/>
    <s v="VALENCIA"/>
    <s v="NO"/>
  </r>
  <r>
    <s v="COD-354"/>
    <x v="6"/>
    <n v="25"/>
    <s v="CLIENTE-007"/>
    <n v="1500"/>
    <s v="PROFESOR-001"/>
    <n v="300"/>
    <d v="2019-06-15T00:00:00"/>
    <x v="11"/>
    <x v="1"/>
    <x v="2"/>
    <s v="COMERCIAL-002"/>
    <n v="180"/>
    <x v="0"/>
    <x v="0"/>
    <s v="VALENCIA"/>
    <s v="SI"/>
  </r>
  <r>
    <s v="COD-355"/>
    <x v="2"/>
    <n v="30"/>
    <s v="CLIENTE-005"/>
    <n v="1200"/>
    <s v="PROFESOR-004"/>
    <n v="360"/>
    <d v="2019-04-23T00:00:00"/>
    <x v="5"/>
    <x v="1"/>
    <x v="2"/>
    <s v="COMERCIAL-004"/>
    <n v="120"/>
    <x v="0"/>
    <x v="2"/>
    <s v="MARSELLA"/>
    <s v="SI"/>
  </r>
  <r>
    <s v="COD-356"/>
    <x v="2"/>
    <n v="40"/>
    <s v="CLIENTE-006"/>
    <n v="1600"/>
    <s v="PROFESOR-005"/>
    <n v="480"/>
    <d v="2019-06-05T00:00:00"/>
    <x v="11"/>
    <x v="1"/>
    <x v="2"/>
    <s v="COMERCIAL-003"/>
    <n v="160"/>
    <x v="0"/>
    <x v="2"/>
    <s v="MARSELLA"/>
    <s v="NO"/>
  </r>
  <r>
    <s v="COD-357"/>
    <x v="2"/>
    <n v="35"/>
    <s v="CLIENTE-008"/>
    <n v="1400"/>
    <s v="PROFESOR-002"/>
    <n v="420"/>
    <d v="2019-12-11T00:00:00"/>
    <x v="8"/>
    <x v="1"/>
    <x v="2"/>
    <s v="COMERCIAL-002"/>
    <n v="140"/>
    <x v="0"/>
    <x v="0"/>
    <s v="VALENCIA"/>
    <s v="SI"/>
  </r>
  <r>
    <s v="COD-358"/>
    <x v="2"/>
    <n v="45"/>
    <s v="CLIENTE-003"/>
    <n v="1800"/>
    <s v="PROFESOR-001"/>
    <n v="540"/>
    <d v="2019-05-15T00:00:00"/>
    <x v="9"/>
    <x v="1"/>
    <x v="1"/>
    <s v="COMERCIAL-004"/>
    <n v="180"/>
    <x v="0"/>
    <x v="1"/>
    <s v="MILAN"/>
    <s v="SI"/>
  </r>
  <r>
    <s v="COD-359"/>
    <x v="1"/>
    <n v="18"/>
    <s v="CLIENTE-005"/>
    <n v="540"/>
    <s v="PROFESOR-004"/>
    <n v="216"/>
    <d v="2019-09-05T00:00:00"/>
    <x v="0"/>
    <x v="1"/>
    <x v="2"/>
    <s v="COMERCIAL-001"/>
    <n v="43.2"/>
    <x v="0"/>
    <x v="2"/>
    <s v="MARSELLA"/>
    <s v="NO"/>
  </r>
  <r>
    <s v="COD-360"/>
    <x v="1"/>
    <n v="10"/>
    <s v="CLIENTE-006"/>
    <n v="300"/>
    <s v="PROFESOR-005"/>
    <n v="120"/>
    <d v="2020-06-03T00:00:00"/>
    <x v="11"/>
    <x v="2"/>
    <x v="2"/>
    <s v="COMERCIAL-003"/>
    <n v="24"/>
    <x v="0"/>
    <x v="2"/>
    <s v="MARSELLA"/>
    <s v="NO"/>
  </r>
  <r>
    <s v="COD-361"/>
    <x v="1"/>
    <n v="45"/>
    <s v="CLIENTE-004"/>
    <n v="1350"/>
    <s v="PROFESOR-002"/>
    <n v="540"/>
    <d v="2021-07-13T00:00:00"/>
    <x v="4"/>
    <x v="0"/>
    <x v="2"/>
    <s v="COMERCIAL-002"/>
    <n v="108"/>
    <x v="0"/>
    <x v="0"/>
    <s v="VALENCIA"/>
    <s v="SI"/>
  </r>
  <r>
    <s v="COD-362"/>
    <x v="0"/>
    <n v="25"/>
    <s v="CLIENTE-007"/>
    <n v="625"/>
    <s v="PROFESOR-001"/>
    <n v="300"/>
    <d v="2021-04-01T00:00:00"/>
    <x v="5"/>
    <x v="0"/>
    <x v="1"/>
    <s v="COMERCIAL-004"/>
    <n v="43.75"/>
    <x v="0"/>
    <x v="0"/>
    <s v="VALENCIA"/>
    <s v="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8E2D1-45DE-4D0A-86A3-5DD8A8B27D65}" name="TablaDinámica6" cacheId="9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9">
  <location ref="P3:Q11" firstHeaderRow="1" firstDataRow="1" firstDataCol="1"/>
  <pivotFields count="17">
    <pivotField showAll="0"/>
    <pivotField axis="axisRow" dataField="1" showAll="0">
      <items count="8">
        <item x="2"/>
        <item x="6"/>
        <item x="1"/>
        <item x="3"/>
        <item x="5"/>
        <item x="4"/>
        <item x="0"/>
        <item t="default"/>
      </items>
    </pivotField>
    <pivotField showAll="0"/>
    <pivotField showAll="0"/>
    <pivotField numFmtId="164" showAll="0"/>
    <pivotField showAll="0"/>
    <pivotField numFmtId="164" showAll="0"/>
    <pivotField numFmtId="14" showAll="0"/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numFmtId="164"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CURSO" fld="1" subtotal="count" baseField="1" baseItem="0" numFmtId="1"/>
  </dataFields>
  <formats count="2">
    <format dxfId="150">
      <pivotArea outline="0" collapsedLevelsAreSubtotals="1" fieldPosition="0"/>
    </format>
    <format dxfId="151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9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7C27E-BBB8-42D5-9C3C-AB0AD1ACB1E8}" name="TablaDinámica5" cacheId="9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M3:N7" firstHeaderRow="1" firstDataRow="1" firstDataCol="1"/>
  <pivotFields count="17">
    <pivotField showAll="0"/>
    <pivotField showAll="0">
      <items count="8">
        <item x="2"/>
        <item x="6"/>
        <item x="1"/>
        <item x="3"/>
        <item x="5"/>
        <item x="4"/>
        <item x="0"/>
        <item t="default"/>
      </items>
    </pivotField>
    <pivotField showAll="0"/>
    <pivotField showAll="0"/>
    <pivotField numFmtId="164" showAll="0"/>
    <pivotField showAll="0"/>
    <pivotField numFmtId="164" showAll="0"/>
    <pivotField numFmtId="14" showAll="0"/>
    <pivotField showAll="0"/>
    <pivotField showAll="0">
      <items count="4">
        <item h="1" x="1"/>
        <item x="2"/>
        <item h="1" x="0"/>
        <item t="default"/>
      </items>
    </pivotField>
    <pivotField axis="axisRow" dataField="1" showAll="0">
      <items count="4">
        <item x="0"/>
        <item x="2"/>
        <item x="1"/>
        <item t="default"/>
      </items>
    </pivotField>
    <pivotField showAll="0"/>
    <pivotField numFmtId="164"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JORNADA CURSO" fld="10" subtotal="count" showDataAs="percentOfTotal" baseField="10" baseItem="2" numFmtId="10"/>
  </dataFields>
  <formats count="2">
    <format dxfId="152">
      <pivotArea outline="0" collapsedLevelsAreSubtotals="1" fieldPosition="0"/>
    </format>
    <format dxfId="153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A37440-7D1C-4858-881E-C9B520ED2181}" name="TablaDinámica4" cacheId="9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J3:K6" firstHeaderRow="1" firstDataRow="1" firstDataCol="1"/>
  <pivotFields count="17">
    <pivotField showAll="0"/>
    <pivotField showAll="0">
      <items count="8">
        <item x="2"/>
        <item x="6"/>
        <item x="1"/>
        <item x="3"/>
        <item x="5"/>
        <item x="4"/>
        <item x="0"/>
        <item t="default"/>
      </items>
    </pivotField>
    <pivotField showAll="0"/>
    <pivotField showAll="0"/>
    <pivotField dataField="1" numFmtId="164" showAll="0"/>
    <pivotField showAll="0"/>
    <pivotField numFmtId="164" showAll="0"/>
    <pivotField numFmtId="14" showAll="0"/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ma de IMPORTE CLIENTE" fld="4" showDataAs="percentOfTotal" baseField="13" baseItem="0" numFmtId="10"/>
  </dataFields>
  <formats count="2">
    <format dxfId="154">
      <pivotArea outline="0" collapsedLevelsAreSubtotals="1" fieldPosition="0"/>
    </format>
    <format dxfId="155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BDA4E-E1E4-4AEC-9AED-C1273E38A8A5}" name="TablaDinámica3" cacheId="9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G3:H16" firstHeaderRow="1" firstDataRow="1" firstDataCol="1"/>
  <pivotFields count="17">
    <pivotField showAll="0"/>
    <pivotField showAll="0">
      <items count="8">
        <item x="2"/>
        <item x="6"/>
        <item x="1"/>
        <item x="3"/>
        <item x="5"/>
        <item x="4"/>
        <item x="0"/>
        <item t="default"/>
      </items>
    </pivotField>
    <pivotField showAll="0"/>
    <pivotField showAll="0"/>
    <pivotField dataField="1" numFmtId="164" showAll="0"/>
    <pivotField showAll="0"/>
    <pivotField numFmtId="164" showAll="0"/>
    <pivotField numFmtId="14" showAll="0"/>
    <pivotField axis="axisRow" showAll="0">
      <items count="13">
        <item x="3"/>
        <item x="7"/>
        <item x="2"/>
        <item x="5"/>
        <item x="9"/>
        <item x="11"/>
        <item x="4"/>
        <item x="1"/>
        <item x="0"/>
        <item x="6"/>
        <item x="10"/>
        <item x="8"/>
        <item t="default"/>
      </items>
    </pivotField>
    <pivotField showAll="0">
      <items count="4">
        <item h="1" x="1"/>
        <item x="2"/>
        <item h="1" x="0"/>
        <item t="default"/>
      </items>
    </pivotField>
    <pivotField showAll="0"/>
    <pivotField showAll="0"/>
    <pivotField numFmtId="164"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IMPORTE CLIENTE" fld="4" baseField="0" baseItem="0"/>
  </dataFields>
  <formats count="1">
    <format dxfId="156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63716-9B04-4E60-8D7F-5B12EB0322E9}" name="TablaDinámica2" cacheId="9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D3:E7" firstHeaderRow="1" firstDataRow="1" firstDataCol="1"/>
  <pivotFields count="17">
    <pivotField showAll="0"/>
    <pivotField showAll="0">
      <items count="8">
        <item x="2"/>
        <item x="6"/>
        <item x="1"/>
        <item x="3"/>
        <item x="5"/>
        <item x="4"/>
        <item x="0"/>
        <item t="default"/>
      </items>
    </pivotField>
    <pivotField showAll="0"/>
    <pivotField showAll="0"/>
    <pivotField dataField="1" numFmtId="164" showAll="0"/>
    <pivotField showAll="0"/>
    <pivotField numFmtId="164" showAll="0"/>
    <pivotField numFmtId="14" showAll="0"/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numFmtId="164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MPORTE CLIENTE" fld="4" showDataAs="percentOfTotal" baseField="14" baseItem="0" numFmtId="10"/>
  </dataFields>
  <formats count="2">
    <format dxfId="157">
      <pivotArea outline="0" collapsedLevelsAreSubtotals="1" fieldPosition="0"/>
    </format>
    <format dxfId="158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F46A1-51C0-4857-9EBB-1A96C09B3B68}" name="TablaDinámica1" cacheId="9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A3:B11" firstHeaderRow="1" firstDataRow="1" firstDataCol="1"/>
  <pivotFields count="17">
    <pivotField showAll="0"/>
    <pivotField axis="axisRow" showAll="0" sortType="ascending">
      <items count="8">
        <item x="2"/>
        <item x="6"/>
        <item x="1"/>
        <item x="3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showAll="0"/>
    <pivotField numFmtId="164" showAll="0"/>
    <pivotField numFmtId="14" showAll="0"/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numFmtId="164"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"/>
  </rowFields>
  <rowItems count="8">
    <i>
      <x v="3"/>
    </i>
    <i>
      <x v="4"/>
    </i>
    <i>
      <x v="5"/>
    </i>
    <i>
      <x v="6"/>
    </i>
    <i>
      <x v="1"/>
    </i>
    <i>
      <x/>
    </i>
    <i>
      <x v="2"/>
    </i>
    <i t="grand">
      <x/>
    </i>
  </rowItems>
  <colItems count="1">
    <i/>
  </colItems>
  <dataFields count="1">
    <dataField name="Suma de IMPORTE CLIENTE" fld="4" baseField="0" baseItem="0" numFmtId="44"/>
  </dataFields>
  <formats count="1">
    <format dxfId="159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IS" xr10:uid="{68D50E83-77A0-4942-BDE2-436D18F3F603}" sourceName="PAIS">
  <pivotTables>
    <pivotTable tabId="2" name="TablaDinámica1"/>
    <pivotTable tabId="2" name="TablaDinámica2"/>
    <pivotTable tabId="2" name="TablaDinámica3"/>
    <pivotTable tabId="2" name="TablaDinámica4"/>
    <pivotTable tabId="2" name="TablaDinámica5"/>
    <pivotTable tabId="2" name="TablaDinámica6"/>
  </pivotTables>
  <data>
    <tabular pivotCacheId="1098586688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89F8463E-0BC9-4687-B01F-A4A83FBBB157}" sourceName="Año">
  <pivotTables>
    <pivotTable tabId="2" name="TablaDinámica1"/>
    <pivotTable tabId="2" name="TablaDinámica2"/>
    <pivotTable tabId="2" name="TablaDinámica3"/>
    <pivotTable tabId="2" name="TablaDinámica4"/>
    <pivotTable tabId="2" name="TablaDinámica5"/>
    <pivotTable tabId="2" name="TablaDinámica6"/>
  </pivotTables>
  <data>
    <tabular pivotCacheId="1098586688">
      <items count="3">
        <i x="1"/>
        <i x="2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IS" xr10:uid="{FE217D22-42A4-47BA-B5FD-7E550062DF07}" cache="SegmentaciónDeDatos_PAIS" caption="PAIS" columnCount="3" showCaption="0" style="Estilo de segmentación de datos 1" rowHeight="220133"/>
  <slicer name="Año" xr10:uid="{536591C1-D1BF-4CD8-A659-FA3E57157069}" cache="SegmentaciónDeDatos_Año" caption="Año" columnCount="3" showCaption="0" style="Estilo de segmentación de datos 1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8F9E9B-68F1-4406-AF7A-295341FD8F14}" name="Tabla1" displayName="Tabla1" ref="A1:Q364" totalsRowCount="1" headerRowDxfId="196" dataDxfId="197">
  <autoFilter ref="A1:Q363" xr:uid="{B08F9E9B-68F1-4406-AF7A-295341FD8F14}"/>
  <tableColumns count="17">
    <tableColumn id="1" xr3:uid="{AF0FA685-D78C-41AB-BA0A-16DC50A08240}" name="COD CURSO" totalsRowLabel="Total" dataDxfId="195" totalsRowDxfId="194"/>
    <tableColumn id="2" xr3:uid="{546929CA-324E-4532-AFF0-5775D65F855F}" name="CURSO" dataDxfId="193" totalsRowDxfId="192"/>
    <tableColumn id="3" xr3:uid="{B22E7CAF-9523-401A-AFF7-CD5D6D050A24}" name="DURACION" dataDxfId="191" totalsRowDxfId="190"/>
    <tableColumn id="4" xr3:uid="{F7E841D0-C478-42D7-91F3-CCBAF75EAB89}" name="CLIENTE" dataDxfId="189" totalsRowDxfId="188"/>
    <tableColumn id="5" xr3:uid="{45AE6AAA-0215-4944-A5AE-EA70F27D4596}" name="IMPORTE CLIENTE" dataDxfId="187" totalsRowDxfId="186" dataCellStyle="Euro"/>
    <tableColumn id="6" xr3:uid="{B822DE9E-1C17-45F5-BDCB-491A7C0C7692}" name="PROFESOR" dataDxfId="185" totalsRowDxfId="184"/>
    <tableColumn id="7" xr3:uid="{41FF30AA-2F1E-45A2-9DE7-7B9DD451C9F3}" name="IMPORTE PROFESOR" dataDxfId="183" totalsRowDxfId="182" dataCellStyle="Euro"/>
    <tableColumn id="8" xr3:uid="{3D0E49B0-16E0-4201-957F-2A75A3D2B220}" name="FECHA CURSO" dataDxfId="181" totalsRowDxfId="180"/>
    <tableColumn id="17" xr3:uid="{53598F6B-D7C1-441A-90A9-989A831F8FF3}" name="Mes" dataDxfId="179" totalsRowDxfId="178">
      <calculatedColumnFormula>TEXT(Tabla1[[#This Row],[FECHA CURSO]],"mmmm")</calculatedColumnFormula>
    </tableColumn>
    <tableColumn id="16" xr3:uid="{45B65550-4A74-4979-9B38-B9C2A1C1AFCC}" name="Año" dataDxfId="177" totalsRowDxfId="176">
      <calculatedColumnFormula>YEAR(Tabla1[[#This Row],[FECHA CURSO]])</calculatedColumnFormula>
    </tableColumn>
    <tableColumn id="9" xr3:uid="{96B2DD73-3CDA-4153-9566-F1C2B95CF920}" name="JORNADA CURSO" dataDxfId="175" totalsRowDxfId="174"/>
    <tableColumn id="10" xr3:uid="{0919460A-E8E2-4286-8552-BFF8FC55BDD3}" name="COMERCIAL" dataDxfId="173" totalsRowDxfId="172"/>
    <tableColumn id="11" xr3:uid="{2AAAA46A-3B45-43F9-9D0A-A5268AD210A4}" name="IMPORTE COMERCIAL" totalsRowFunction="sum" dataDxfId="171" totalsRowDxfId="170" dataCellStyle="Euro"/>
    <tableColumn id="12" xr3:uid="{5844CFE5-A769-4F85-A883-E5C1A26F95F0}" name="PAGADO CLIENTE" dataDxfId="169" totalsRowDxfId="168"/>
    <tableColumn id="13" xr3:uid="{F1B6BAFB-8742-46DD-BE89-62BF021701D7}" name="PAIS" dataDxfId="167" totalsRowDxfId="166"/>
    <tableColumn id="14" xr3:uid="{50173C6C-CF97-45D3-9836-ACA1A38D24B7}" name="CIUDAD" dataDxfId="165" totalsRowDxfId="164"/>
    <tableColumn id="15" xr3:uid="{A92241F3-BC71-4B72-8E32-81243851257B}" name="PAGADO COMERCIAL" totalsRowFunction="count" dataDxfId="163" totalsRowDxfId="16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Q364"/>
  <sheetViews>
    <sheetView workbookViewId="0">
      <selection activeCell="D17" sqref="D17"/>
    </sheetView>
  </sheetViews>
  <sheetFormatPr baseColWidth="10" defaultColWidth="11.453125" defaultRowHeight="12.5" x14ac:dyDescent="0.25"/>
  <cols>
    <col min="1" max="1" width="13.6328125" style="2" bestFit="1" customWidth="1"/>
    <col min="2" max="2" width="18" style="3" customWidth="1"/>
    <col min="3" max="3" width="13.453125" style="3" bestFit="1" customWidth="1"/>
    <col min="4" max="4" width="14.54296875" style="3" customWidth="1"/>
    <col min="5" max="5" width="20.54296875" style="3" bestFit="1" customWidth="1"/>
    <col min="6" max="6" width="17.90625" style="3" customWidth="1"/>
    <col min="7" max="7" width="23.08984375" style="3" bestFit="1" customWidth="1"/>
    <col min="8" max="8" width="17.08984375" style="3" bestFit="1" customWidth="1"/>
    <col min="9" max="9" width="20.08984375" style="3" bestFit="1" customWidth="1"/>
    <col min="10" max="10" width="18.90625" style="3" customWidth="1"/>
    <col min="11" max="11" width="24.08984375" style="3" bestFit="1" customWidth="1"/>
    <col min="12" max="12" width="18.453125" style="3" customWidth="1"/>
    <col min="13" max="13" width="11.453125" style="2"/>
    <col min="14" max="14" width="12.54296875" style="2" bestFit="1" customWidth="1"/>
    <col min="15" max="15" width="21.54296875" style="2" customWidth="1"/>
    <col min="16" max="16384" width="11.453125" style="2"/>
  </cols>
  <sheetData>
    <row r="1" spans="1:17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421</v>
      </c>
      <c r="J1" s="1" t="s">
        <v>417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tr">
        <f>TEXT(Tabla1[[#This Row],[FECHA CURSO]],"mmmm")</f>
        <v>septiembre</v>
      </c>
      <c r="J2" s="6">
        <f>YEAR(Tabla1[[#This Row],[FECHA CURSO]])</f>
        <v>2021</v>
      </c>
      <c r="K2" s="5" t="s">
        <v>19</v>
      </c>
      <c r="L2" s="3" t="s">
        <v>20</v>
      </c>
      <c r="M2" s="4">
        <v>26.25</v>
      </c>
      <c r="N2" s="3" t="s">
        <v>21</v>
      </c>
      <c r="O2" s="2" t="s">
        <v>22</v>
      </c>
      <c r="P2" s="2" t="s">
        <v>23</v>
      </c>
      <c r="Q2" s="2" t="s">
        <v>21</v>
      </c>
    </row>
    <row r="3" spans="1:17" x14ac:dyDescent="0.25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tr">
        <f>TEXT(Tabla1[[#This Row],[FECHA CURSO]],"mmmm")</f>
        <v>septiembre</v>
      </c>
      <c r="J3" s="6">
        <f>YEAR(Tabla1[[#This Row],[FECHA CURSO]])</f>
        <v>2021</v>
      </c>
      <c r="K3" s="5" t="s">
        <v>28</v>
      </c>
      <c r="L3" s="3" t="s">
        <v>29</v>
      </c>
      <c r="M3" s="4">
        <v>48</v>
      </c>
      <c r="N3" s="3" t="s">
        <v>21</v>
      </c>
      <c r="O3" s="2" t="s">
        <v>30</v>
      </c>
      <c r="P3" s="2" t="s">
        <v>31</v>
      </c>
      <c r="Q3" s="2" t="s">
        <v>21</v>
      </c>
    </row>
    <row r="4" spans="1:17" x14ac:dyDescent="0.25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tr">
        <f>TEXT(Tabla1[[#This Row],[FECHA CURSO]],"mmmm")</f>
        <v>agosto</v>
      </c>
      <c r="J4" s="6">
        <f>YEAR(Tabla1[[#This Row],[FECHA CURSO]])</f>
        <v>2019</v>
      </c>
      <c r="K4" s="5" t="s">
        <v>19</v>
      </c>
      <c r="L4" s="3" t="s">
        <v>36</v>
      </c>
      <c r="M4" s="4">
        <v>72</v>
      </c>
      <c r="N4" s="3" t="s">
        <v>21</v>
      </c>
      <c r="O4" s="2" t="s">
        <v>22</v>
      </c>
      <c r="P4" s="2" t="s">
        <v>23</v>
      </c>
      <c r="Q4" s="2" t="s">
        <v>21</v>
      </c>
    </row>
    <row r="5" spans="1:17" x14ac:dyDescent="0.25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tr">
        <f>TEXT(Tabla1[[#This Row],[FECHA CURSO]],"mmmm")</f>
        <v>marzo</v>
      </c>
      <c r="J5" s="6">
        <f>YEAR(Tabla1[[#This Row],[FECHA CURSO]])</f>
        <v>2019</v>
      </c>
      <c r="K5" s="5" t="s">
        <v>19</v>
      </c>
      <c r="L5" s="3" t="s">
        <v>40</v>
      </c>
      <c r="M5" s="4">
        <v>43.75</v>
      </c>
      <c r="N5" s="3" t="s">
        <v>21</v>
      </c>
      <c r="O5" s="2" t="s">
        <v>30</v>
      </c>
      <c r="P5" s="2" t="s">
        <v>31</v>
      </c>
      <c r="Q5" s="2" t="s">
        <v>41</v>
      </c>
    </row>
    <row r="6" spans="1:17" x14ac:dyDescent="0.25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tr">
        <f>TEXT(Tabla1[[#This Row],[FECHA CURSO]],"mmmm")</f>
        <v>marzo</v>
      </c>
      <c r="J6" s="6">
        <f>YEAR(Tabla1[[#This Row],[FECHA CURSO]])</f>
        <v>2021</v>
      </c>
      <c r="K6" s="5" t="s">
        <v>19</v>
      </c>
      <c r="L6" s="3" t="s">
        <v>20</v>
      </c>
      <c r="M6" s="4">
        <v>35</v>
      </c>
      <c r="N6" s="3" t="s">
        <v>41</v>
      </c>
      <c r="O6" s="2" t="s">
        <v>45</v>
      </c>
      <c r="P6" s="2" t="s">
        <v>46</v>
      </c>
      <c r="Q6" s="2" t="s">
        <v>41</v>
      </c>
    </row>
    <row r="7" spans="1:17" x14ac:dyDescent="0.25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tr">
        <f>TEXT(Tabla1[[#This Row],[FECHA CURSO]],"mmmm")</f>
        <v>enero</v>
      </c>
      <c r="J7" s="6">
        <f>YEAR(Tabla1[[#This Row],[FECHA CURSO]])</f>
        <v>2019</v>
      </c>
      <c r="K7" s="5" t="s">
        <v>19</v>
      </c>
      <c r="L7" s="3" t="s">
        <v>29</v>
      </c>
      <c r="M7" s="4">
        <v>17.5</v>
      </c>
      <c r="N7" s="3" t="s">
        <v>41</v>
      </c>
      <c r="O7" s="2" t="s">
        <v>30</v>
      </c>
      <c r="P7" s="2" t="s">
        <v>31</v>
      </c>
      <c r="Q7" s="2" t="s">
        <v>21</v>
      </c>
    </row>
    <row r="8" spans="1:17" x14ac:dyDescent="0.25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tr">
        <f>TEXT(Tabla1[[#This Row],[FECHA CURSO]],"mmmm")</f>
        <v>julio</v>
      </c>
      <c r="J8" s="6">
        <f>YEAR(Tabla1[[#This Row],[FECHA CURSO]])</f>
        <v>2020</v>
      </c>
      <c r="K8" s="5" t="s">
        <v>28</v>
      </c>
      <c r="L8" s="3" t="s">
        <v>36</v>
      </c>
      <c r="M8" s="4">
        <v>28.8</v>
      </c>
      <c r="N8" s="3" t="s">
        <v>41</v>
      </c>
      <c r="O8" s="2" t="s">
        <v>22</v>
      </c>
      <c r="P8" s="2" t="s">
        <v>23</v>
      </c>
      <c r="Q8" s="2" t="s">
        <v>21</v>
      </c>
    </row>
    <row r="9" spans="1:17" x14ac:dyDescent="0.25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tr">
        <f>TEXT(Tabla1[[#This Row],[FECHA CURSO]],"mmmm")</f>
        <v>abril</v>
      </c>
      <c r="J9" s="6">
        <f>YEAR(Tabla1[[#This Row],[FECHA CURSO]])</f>
        <v>2019</v>
      </c>
      <c r="K9" s="5" t="s">
        <v>28</v>
      </c>
      <c r="L9" s="3" t="s">
        <v>40</v>
      </c>
      <c r="M9" s="4">
        <v>36</v>
      </c>
      <c r="N9" s="3" t="s">
        <v>41</v>
      </c>
      <c r="O9" s="2" t="s">
        <v>30</v>
      </c>
      <c r="P9" s="2" t="s">
        <v>31</v>
      </c>
      <c r="Q9" s="2" t="s">
        <v>21</v>
      </c>
    </row>
    <row r="10" spans="1:17" x14ac:dyDescent="0.25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tr">
        <f>TEXT(Tabla1[[#This Row],[FECHA CURSO]],"mmmm")</f>
        <v>agosto</v>
      </c>
      <c r="J10" s="6">
        <f>YEAR(Tabla1[[#This Row],[FECHA CURSO]])</f>
        <v>2021</v>
      </c>
      <c r="K10" s="5" t="s">
        <v>28</v>
      </c>
      <c r="L10" s="3" t="s">
        <v>29</v>
      </c>
      <c r="M10" s="4">
        <v>48</v>
      </c>
      <c r="N10" s="3" t="s">
        <v>41</v>
      </c>
      <c r="O10" s="2" t="s">
        <v>45</v>
      </c>
      <c r="P10" s="2" t="s">
        <v>46</v>
      </c>
      <c r="Q10" s="2" t="s">
        <v>21</v>
      </c>
    </row>
    <row r="11" spans="1:17" x14ac:dyDescent="0.25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tr">
        <f>TEXT(Tabla1[[#This Row],[FECHA CURSO]],"mmmm")</f>
        <v>octubre</v>
      </c>
      <c r="J11" s="6">
        <f>YEAR(Tabla1[[#This Row],[FECHA CURSO]])</f>
        <v>2021</v>
      </c>
      <c r="K11" s="5" t="s">
        <v>28</v>
      </c>
      <c r="L11" s="3" t="s">
        <v>36</v>
      </c>
      <c r="M11" s="4">
        <v>31.25</v>
      </c>
      <c r="N11" s="3" t="s">
        <v>21</v>
      </c>
      <c r="O11" s="2" t="s">
        <v>22</v>
      </c>
      <c r="P11" s="2" t="s">
        <v>23</v>
      </c>
      <c r="Q11" s="2" t="s">
        <v>21</v>
      </c>
    </row>
    <row r="12" spans="1:17" x14ac:dyDescent="0.25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tr">
        <f>TEXT(Tabla1[[#This Row],[FECHA CURSO]],"mmmm")</f>
        <v>febrero</v>
      </c>
      <c r="J12" s="6">
        <f>YEAR(Tabla1[[#This Row],[FECHA CURSO]])</f>
        <v>2020</v>
      </c>
      <c r="K12" s="5" t="s">
        <v>57</v>
      </c>
      <c r="L12" s="3" t="s">
        <v>40</v>
      </c>
      <c r="M12" s="4">
        <v>37.5</v>
      </c>
      <c r="N12" s="3" t="s">
        <v>21</v>
      </c>
      <c r="O12" s="2" t="s">
        <v>22</v>
      </c>
      <c r="P12" s="2" t="s">
        <v>23</v>
      </c>
      <c r="Q12" s="2" t="s">
        <v>21</v>
      </c>
    </row>
    <row r="13" spans="1:17" x14ac:dyDescent="0.25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tr">
        <f>TEXT(Tabla1[[#This Row],[FECHA CURSO]],"mmmm")</f>
        <v>marzo</v>
      </c>
      <c r="J13" s="6">
        <f>YEAR(Tabla1[[#This Row],[FECHA CURSO]])</f>
        <v>2021</v>
      </c>
      <c r="K13" s="5" t="s">
        <v>57</v>
      </c>
      <c r="L13" s="3" t="s">
        <v>20</v>
      </c>
      <c r="M13" s="4">
        <v>50</v>
      </c>
      <c r="N13" s="3" t="s">
        <v>21</v>
      </c>
      <c r="O13" s="2" t="s">
        <v>45</v>
      </c>
      <c r="P13" s="2" t="s">
        <v>46</v>
      </c>
      <c r="Q13" s="2" t="s">
        <v>21</v>
      </c>
    </row>
    <row r="14" spans="1:17" x14ac:dyDescent="0.25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tr">
        <f>TEXT(Tabla1[[#This Row],[FECHA CURSO]],"mmmm")</f>
        <v>marzo</v>
      </c>
      <c r="J14" s="6">
        <f>YEAR(Tabla1[[#This Row],[FECHA CURSO]])</f>
        <v>2019</v>
      </c>
      <c r="K14" s="5" t="s">
        <v>57</v>
      </c>
      <c r="L14" s="3" t="s">
        <v>29</v>
      </c>
      <c r="M14" s="4">
        <v>43.75</v>
      </c>
      <c r="N14" s="3" t="s">
        <v>21</v>
      </c>
      <c r="O14" s="2" t="s">
        <v>45</v>
      </c>
      <c r="P14" s="2" t="s">
        <v>46</v>
      </c>
      <c r="Q14" s="2" t="s">
        <v>21</v>
      </c>
    </row>
    <row r="15" spans="1:17" x14ac:dyDescent="0.25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tr">
        <f>TEXT(Tabla1[[#This Row],[FECHA CURSO]],"mmmm")</f>
        <v>agosto</v>
      </c>
      <c r="J15" s="6">
        <f>YEAR(Tabla1[[#This Row],[FECHA CURSO]])</f>
        <v>2019</v>
      </c>
      <c r="K15" s="5" t="s">
        <v>28</v>
      </c>
      <c r="L15" s="3" t="s">
        <v>36</v>
      </c>
      <c r="M15" s="4">
        <v>56.25</v>
      </c>
      <c r="N15" s="3" t="s">
        <v>21</v>
      </c>
      <c r="O15" s="2" t="s">
        <v>22</v>
      </c>
      <c r="P15" s="2" t="s">
        <v>23</v>
      </c>
      <c r="Q15" s="2" t="s">
        <v>21</v>
      </c>
    </row>
    <row r="16" spans="1:17" x14ac:dyDescent="0.25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tr">
        <f>TEXT(Tabla1[[#This Row],[FECHA CURSO]],"mmmm")</f>
        <v>septiembre</v>
      </c>
      <c r="J16" s="6">
        <f>YEAR(Tabla1[[#This Row],[FECHA CURSO]])</f>
        <v>2019</v>
      </c>
      <c r="K16" s="5" t="s">
        <v>28</v>
      </c>
      <c r="L16" s="3" t="s">
        <v>20</v>
      </c>
      <c r="M16" s="4">
        <v>202.5</v>
      </c>
      <c r="N16" s="3" t="s">
        <v>21</v>
      </c>
      <c r="O16" s="2" t="s">
        <v>30</v>
      </c>
      <c r="P16" s="2" t="s">
        <v>31</v>
      </c>
      <c r="Q16" s="2" t="s">
        <v>21</v>
      </c>
    </row>
    <row r="17" spans="1:17" x14ac:dyDescent="0.25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tr">
        <f>TEXT(Tabla1[[#This Row],[FECHA CURSO]],"mmmm")</f>
        <v>abril</v>
      </c>
      <c r="J17" s="6">
        <f>YEAR(Tabla1[[#This Row],[FECHA CURSO]])</f>
        <v>2021</v>
      </c>
      <c r="K17" s="5" t="s">
        <v>28</v>
      </c>
      <c r="L17" s="3" t="s">
        <v>29</v>
      </c>
      <c r="M17" s="4">
        <v>72</v>
      </c>
      <c r="N17" s="3" t="s">
        <v>21</v>
      </c>
      <c r="O17" s="2" t="s">
        <v>45</v>
      </c>
      <c r="P17" s="2" t="s">
        <v>46</v>
      </c>
      <c r="Q17" s="2" t="s">
        <v>21</v>
      </c>
    </row>
    <row r="18" spans="1:17" x14ac:dyDescent="0.25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tr">
        <f>TEXT(Tabla1[[#This Row],[FECHA CURSO]],"mmmm")</f>
        <v>enero</v>
      </c>
      <c r="J18" s="6">
        <f>YEAR(Tabla1[[#This Row],[FECHA CURSO]])</f>
        <v>2020</v>
      </c>
      <c r="K18" s="5" t="s">
        <v>28</v>
      </c>
      <c r="L18" s="3" t="s">
        <v>36</v>
      </c>
      <c r="M18" s="4">
        <v>86.4</v>
      </c>
      <c r="N18" s="3" t="s">
        <v>21</v>
      </c>
      <c r="O18" s="2" t="s">
        <v>45</v>
      </c>
      <c r="P18" s="2" t="s">
        <v>46</v>
      </c>
      <c r="Q18" s="2" t="s">
        <v>21</v>
      </c>
    </row>
    <row r="19" spans="1:17" x14ac:dyDescent="0.25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tr">
        <f>TEXT(Tabla1[[#This Row],[FECHA CURSO]],"mmmm")</f>
        <v>agosto</v>
      </c>
      <c r="J19" s="6">
        <f>YEAR(Tabla1[[#This Row],[FECHA CURSO]])</f>
        <v>2020</v>
      </c>
      <c r="K19" s="5" t="s">
        <v>57</v>
      </c>
      <c r="L19" s="3" t="s">
        <v>40</v>
      </c>
      <c r="M19" s="4">
        <v>108</v>
      </c>
      <c r="N19" s="3" t="s">
        <v>21</v>
      </c>
      <c r="O19" s="2" t="s">
        <v>22</v>
      </c>
      <c r="P19" s="2" t="s">
        <v>23</v>
      </c>
      <c r="Q19" s="2" t="s">
        <v>41</v>
      </c>
    </row>
    <row r="20" spans="1:17" x14ac:dyDescent="0.25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tr">
        <f>TEXT(Tabla1[[#This Row],[FECHA CURSO]],"mmmm")</f>
        <v>diciembre</v>
      </c>
      <c r="J20" s="6">
        <f>YEAR(Tabla1[[#This Row],[FECHA CURSO]])</f>
        <v>2019</v>
      </c>
      <c r="K20" s="5" t="s">
        <v>57</v>
      </c>
      <c r="L20" s="3" t="s">
        <v>20</v>
      </c>
      <c r="M20" s="4">
        <v>100</v>
      </c>
      <c r="N20" s="3" t="s">
        <v>21</v>
      </c>
      <c r="O20" s="2" t="s">
        <v>22</v>
      </c>
      <c r="P20" s="2" t="s">
        <v>23</v>
      </c>
      <c r="Q20" s="2" t="s">
        <v>21</v>
      </c>
    </row>
    <row r="21" spans="1:17" x14ac:dyDescent="0.25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tr">
        <f>TEXT(Tabla1[[#This Row],[FECHA CURSO]],"mmmm")</f>
        <v>enero</v>
      </c>
      <c r="J21" s="6">
        <f>YEAR(Tabla1[[#This Row],[FECHA CURSO]])</f>
        <v>2021</v>
      </c>
      <c r="K21" s="5" t="s">
        <v>57</v>
      </c>
      <c r="L21" s="3" t="s">
        <v>29</v>
      </c>
      <c r="M21" s="4">
        <v>60</v>
      </c>
      <c r="N21" s="3" t="s">
        <v>21</v>
      </c>
      <c r="O21" s="2" t="s">
        <v>22</v>
      </c>
      <c r="P21" s="2" t="s">
        <v>23</v>
      </c>
      <c r="Q21" s="2" t="s">
        <v>21</v>
      </c>
    </row>
    <row r="22" spans="1:17" x14ac:dyDescent="0.25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tr">
        <f>TEXT(Tabla1[[#This Row],[FECHA CURSO]],"mmmm")</f>
        <v>mayo</v>
      </c>
      <c r="J22" s="6">
        <f>YEAR(Tabla1[[#This Row],[FECHA CURSO]])</f>
        <v>2020</v>
      </c>
      <c r="K22" s="5" t="s">
        <v>57</v>
      </c>
      <c r="L22" s="3" t="s">
        <v>36</v>
      </c>
      <c r="M22" s="4">
        <v>80</v>
      </c>
      <c r="N22" s="3" t="s">
        <v>21</v>
      </c>
      <c r="O22" s="2" t="s">
        <v>45</v>
      </c>
      <c r="P22" s="2" t="s">
        <v>46</v>
      </c>
      <c r="Q22" s="2" t="s">
        <v>21</v>
      </c>
    </row>
    <row r="23" spans="1:17" x14ac:dyDescent="0.25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tr">
        <f>TEXT(Tabla1[[#This Row],[FECHA CURSO]],"mmmm")</f>
        <v>abril</v>
      </c>
      <c r="J23" s="6">
        <f>YEAR(Tabla1[[#This Row],[FECHA CURSO]])</f>
        <v>2020</v>
      </c>
      <c r="K23" s="5" t="s">
        <v>57</v>
      </c>
      <c r="L23" s="3" t="s">
        <v>40</v>
      </c>
      <c r="M23" s="4">
        <v>80</v>
      </c>
      <c r="N23" s="3" t="s">
        <v>21</v>
      </c>
      <c r="O23" s="2" t="s">
        <v>45</v>
      </c>
      <c r="P23" s="2" t="s">
        <v>46</v>
      </c>
      <c r="Q23" s="2" t="s">
        <v>21</v>
      </c>
    </row>
    <row r="24" spans="1:17" x14ac:dyDescent="0.25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tr">
        <f>TEXT(Tabla1[[#This Row],[FECHA CURSO]],"mmmm")</f>
        <v>agosto</v>
      </c>
      <c r="J24" s="6">
        <f>YEAR(Tabla1[[#This Row],[FECHA CURSO]])</f>
        <v>2019</v>
      </c>
      <c r="K24" s="5" t="s">
        <v>28</v>
      </c>
      <c r="L24" s="3" t="s">
        <v>29</v>
      </c>
      <c r="M24" s="4">
        <v>72</v>
      </c>
      <c r="N24" s="3" t="s">
        <v>21</v>
      </c>
      <c r="O24" s="2" t="s">
        <v>22</v>
      </c>
      <c r="P24" s="2" t="s">
        <v>73</v>
      </c>
      <c r="Q24" s="2" t="s">
        <v>21</v>
      </c>
    </row>
    <row r="25" spans="1:17" x14ac:dyDescent="0.25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tr">
        <f>TEXT(Tabla1[[#This Row],[FECHA CURSO]],"mmmm")</f>
        <v>noviembre</v>
      </c>
      <c r="J25" s="6">
        <f>YEAR(Tabla1[[#This Row],[FECHA CURSO]])</f>
        <v>2019</v>
      </c>
      <c r="K25" s="5" t="s">
        <v>19</v>
      </c>
      <c r="L25" s="3" t="s">
        <v>36</v>
      </c>
      <c r="M25" s="4">
        <v>84</v>
      </c>
      <c r="N25" s="3" t="s">
        <v>21</v>
      </c>
      <c r="O25" s="2" t="s">
        <v>22</v>
      </c>
      <c r="P25" s="2" t="s">
        <v>73</v>
      </c>
      <c r="Q25" s="2" t="s">
        <v>21</v>
      </c>
    </row>
    <row r="26" spans="1:17" x14ac:dyDescent="0.25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tr">
        <f>TEXT(Tabla1[[#This Row],[FECHA CURSO]],"mmmm")</f>
        <v>marzo</v>
      </c>
      <c r="J26" s="6">
        <f>YEAR(Tabla1[[#This Row],[FECHA CURSO]])</f>
        <v>2021</v>
      </c>
      <c r="K26" s="5" t="s">
        <v>28</v>
      </c>
      <c r="L26" s="3" t="s">
        <v>40</v>
      </c>
      <c r="M26" s="4">
        <v>96</v>
      </c>
      <c r="N26" s="3" t="s">
        <v>21</v>
      </c>
      <c r="O26" s="2" t="s">
        <v>22</v>
      </c>
      <c r="P26" s="2" t="s">
        <v>73</v>
      </c>
      <c r="Q26" s="2" t="s">
        <v>41</v>
      </c>
    </row>
    <row r="27" spans="1:17" x14ac:dyDescent="0.25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tr">
        <f>TEXT(Tabla1[[#This Row],[FECHA CURSO]],"mmmm")</f>
        <v>diciembre</v>
      </c>
      <c r="J27" s="6">
        <f>YEAR(Tabla1[[#This Row],[FECHA CURSO]])</f>
        <v>2019</v>
      </c>
      <c r="K27" s="5" t="s">
        <v>19</v>
      </c>
      <c r="L27" s="3" t="s">
        <v>20</v>
      </c>
      <c r="M27" s="4">
        <v>70</v>
      </c>
      <c r="N27" s="3" t="s">
        <v>41</v>
      </c>
      <c r="O27" s="2" t="s">
        <v>45</v>
      </c>
      <c r="P27" s="2" t="s">
        <v>46</v>
      </c>
      <c r="Q27" s="2" t="s">
        <v>41</v>
      </c>
    </row>
    <row r="28" spans="1:17" x14ac:dyDescent="0.25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tr">
        <f>TEXT(Tabla1[[#This Row],[FECHA CURSO]],"mmmm")</f>
        <v>noviembre</v>
      </c>
      <c r="J28" s="6">
        <f>YEAR(Tabla1[[#This Row],[FECHA CURSO]])</f>
        <v>2020</v>
      </c>
      <c r="K28" s="5" t="s">
        <v>19</v>
      </c>
      <c r="L28" s="3" t="s">
        <v>29</v>
      </c>
      <c r="M28" s="4">
        <v>61.25</v>
      </c>
      <c r="N28" s="3" t="s">
        <v>41</v>
      </c>
      <c r="O28" s="2" t="s">
        <v>30</v>
      </c>
      <c r="P28" s="2" t="s">
        <v>31</v>
      </c>
      <c r="Q28" s="2" t="s">
        <v>21</v>
      </c>
    </row>
    <row r="29" spans="1:17" x14ac:dyDescent="0.25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tr">
        <f>TEXT(Tabla1[[#This Row],[FECHA CURSO]],"mmmm")</f>
        <v>mayo</v>
      </c>
      <c r="J29" s="6">
        <f>YEAR(Tabla1[[#This Row],[FECHA CURSO]])</f>
        <v>2019</v>
      </c>
      <c r="K29" s="5" t="s">
        <v>19</v>
      </c>
      <c r="L29" s="3" t="s">
        <v>36</v>
      </c>
      <c r="M29" s="4">
        <v>78.75</v>
      </c>
      <c r="N29" s="3" t="s">
        <v>41</v>
      </c>
      <c r="O29" s="2" t="s">
        <v>45</v>
      </c>
      <c r="P29" s="2" t="s">
        <v>46</v>
      </c>
      <c r="Q29" s="2" t="s">
        <v>21</v>
      </c>
    </row>
    <row r="30" spans="1:17" x14ac:dyDescent="0.25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tr">
        <f>TEXT(Tabla1[[#This Row],[FECHA CURSO]],"mmmm")</f>
        <v>febrero</v>
      </c>
      <c r="J30" s="6">
        <f>YEAR(Tabla1[[#This Row],[FECHA CURSO]])</f>
        <v>2020</v>
      </c>
      <c r="K30" s="5" t="s">
        <v>19</v>
      </c>
      <c r="L30" s="3" t="s">
        <v>20</v>
      </c>
      <c r="M30" s="4">
        <v>43.75</v>
      </c>
      <c r="N30" s="3" t="s">
        <v>41</v>
      </c>
      <c r="O30" s="2" t="s">
        <v>22</v>
      </c>
      <c r="P30" s="2" t="s">
        <v>73</v>
      </c>
      <c r="Q30" s="2" t="s">
        <v>41</v>
      </c>
    </row>
    <row r="31" spans="1:17" x14ac:dyDescent="0.25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tr">
        <f>TEXT(Tabla1[[#This Row],[FECHA CURSO]],"mmmm")</f>
        <v>octubre</v>
      </c>
      <c r="J31" s="6">
        <f>YEAR(Tabla1[[#This Row],[FECHA CURSO]])</f>
        <v>2019</v>
      </c>
      <c r="K31" s="5" t="s">
        <v>28</v>
      </c>
      <c r="L31" s="3" t="s">
        <v>29</v>
      </c>
      <c r="M31" s="4">
        <v>48</v>
      </c>
      <c r="N31" s="3" t="s">
        <v>21</v>
      </c>
      <c r="O31" s="2" t="s">
        <v>30</v>
      </c>
      <c r="P31" s="2" t="s">
        <v>31</v>
      </c>
      <c r="Q31" s="2" t="s">
        <v>21</v>
      </c>
    </row>
    <row r="32" spans="1:17" x14ac:dyDescent="0.25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tr">
        <f>TEXT(Tabla1[[#This Row],[FECHA CURSO]],"mmmm")</f>
        <v>mayo</v>
      </c>
      <c r="J32" s="6">
        <f>YEAR(Tabla1[[#This Row],[FECHA CURSO]])</f>
        <v>2021</v>
      </c>
      <c r="K32" s="5" t="s">
        <v>28</v>
      </c>
      <c r="L32" s="3" t="s">
        <v>36</v>
      </c>
      <c r="M32" s="4">
        <v>40</v>
      </c>
      <c r="N32" s="3" t="s">
        <v>21</v>
      </c>
      <c r="O32" s="2" t="s">
        <v>45</v>
      </c>
      <c r="P32" s="2" t="s">
        <v>82</v>
      </c>
      <c r="Q32" s="2" t="s">
        <v>21</v>
      </c>
    </row>
    <row r="33" spans="1:17" x14ac:dyDescent="0.25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tr">
        <f>TEXT(Tabla1[[#This Row],[FECHA CURSO]],"mmmm")</f>
        <v>septiembre</v>
      </c>
      <c r="J33" s="6">
        <f>YEAR(Tabla1[[#This Row],[FECHA CURSO]])</f>
        <v>2021</v>
      </c>
      <c r="K33" s="5" t="s">
        <v>28</v>
      </c>
      <c r="L33" s="3" t="s">
        <v>40</v>
      </c>
      <c r="M33" s="4">
        <v>21</v>
      </c>
      <c r="N33" s="3" t="s">
        <v>21</v>
      </c>
      <c r="O33" s="2" t="s">
        <v>30</v>
      </c>
      <c r="P33" s="2" t="s">
        <v>31</v>
      </c>
      <c r="Q33" s="2" t="s">
        <v>41</v>
      </c>
    </row>
    <row r="34" spans="1:17" x14ac:dyDescent="0.25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tr">
        <f>TEXT(Tabla1[[#This Row],[FECHA CURSO]],"mmmm")</f>
        <v>agosto</v>
      </c>
      <c r="J34" s="6">
        <f>YEAR(Tabla1[[#This Row],[FECHA CURSO]])</f>
        <v>2021</v>
      </c>
      <c r="K34" s="5" t="s">
        <v>28</v>
      </c>
      <c r="L34" s="3" t="s">
        <v>29</v>
      </c>
      <c r="M34" s="4">
        <v>26.25</v>
      </c>
      <c r="N34" s="3" t="s">
        <v>21</v>
      </c>
      <c r="O34" s="2" t="s">
        <v>22</v>
      </c>
      <c r="P34" s="2" t="s">
        <v>73</v>
      </c>
      <c r="Q34" s="2" t="s">
        <v>21</v>
      </c>
    </row>
    <row r="35" spans="1:17" x14ac:dyDescent="0.25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tr">
        <f>TEXT(Tabla1[[#This Row],[FECHA CURSO]],"mmmm")</f>
        <v>julio</v>
      </c>
      <c r="J35" s="6">
        <f>YEAR(Tabla1[[#This Row],[FECHA CURSO]])</f>
        <v>2020</v>
      </c>
      <c r="K35" s="5" t="s">
        <v>57</v>
      </c>
      <c r="L35" s="3" t="s">
        <v>36</v>
      </c>
      <c r="M35" s="4">
        <v>35</v>
      </c>
      <c r="N35" s="3" t="s">
        <v>41</v>
      </c>
      <c r="O35" s="2" t="s">
        <v>30</v>
      </c>
      <c r="P35" s="2" t="s">
        <v>31</v>
      </c>
      <c r="Q35" s="2" t="s">
        <v>21</v>
      </c>
    </row>
    <row r="36" spans="1:17" x14ac:dyDescent="0.25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tr">
        <f>TEXT(Tabla1[[#This Row],[FECHA CURSO]],"mmmm")</f>
        <v>noviembre</v>
      </c>
      <c r="J36" s="6">
        <f>YEAR(Tabla1[[#This Row],[FECHA CURSO]])</f>
        <v>2020</v>
      </c>
      <c r="K36" s="5" t="s">
        <v>57</v>
      </c>
      <c r="L36" s="3" t="s">
        <v>40</v>
      </c>
      <c r="M36" s="4">
        <v>60</v>
      </c>
      <c r="N36" s="3" t="s">
        <v>41</v>
      </c>
      <c r="O36" s="2" t="s">
        <v>45</v>
      </c>
      <c r="P36" s="2" t="s">
        <v>82</v>
      </c>
      <c r="Q36" s="2" t="s">
        <v>41</v>
      </c>
    </row>
    <row r="37" spans="1:17" x14ac:dyDescent="0.25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tr">
        <f>TEXT(Tabla1[[#This Row],[FECHA CURSO]],"mmmm")</f>
        <v>noviembre</v>
      </c>
      <c r="J37" s="6">
        <f>YEAR(Tabla1[[#This Row],[FECHA CURSO]])</f>
        <v>2019</v>
      </c>
      <c r="K37" s="5" t="s">
        <v>57</v>
      </c>
      <c r="L37" s="3" t="s">
        <v>20</v>
      </c>
      <c r="M37" s="4">
        <v>72</v>
      </c>
      <c r="N37" s="3" t="s">
        <v>41</v>
      </c>
      <c r="O37" s="2" t="s">
        <v>22</v>
      </c>
      <c r="P37" s="2" t="s">
        <v>73</v>
      </c>
      <c r="Q37" s="2" t="s">
        <v>41</v>
      </c>
    </row>
    <row r="38" spans="1:17" x14ac:dyDescent="0.25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tr">
        <f>TEXT(Tabla1[[#This Row],[FECHA CURSO]],"mmmm")</f>
        <v>febrero</v>
      </c>
      <c r="J38" s="6">
        <f>YEAR(Tabla1[[#This Row],[FECHA CURSO]])</f>
        <v>2019</v>
      </c>
      <c r="K38" s="5" t="s">
        <v>28</v>
      </c>
      <c r="L38" s="3" t="s">
        <v>29</v>
      </c>
      <c r="M38" s="4">
        <v>96</v>
      </c>
      <c r="N38" s="3" t="s">
        <v>21</v>
      </c>
      <c r="O38" s="2" t="s">
        <v>22</v>
      </c>
      <c r="P38" s="2" t="s">
        <v>73</v>
      </c>
      <c r="Q38" s="2" t="s">
        <v>21</v>
      </c>
    </row>
    <row r="39" spans="1:17" x14ac:dyDescent="0.25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tr">
        <f>TEXT(Tabla1[[#This Row],[FECHA CURSO]],"mmmm")</f>
        <v>marzo</v>
      </c>
      <c r="J39" s="6">
        <f>YEAR(Tabla1[[#This Row],[FECHA CURSO]])</f>
        <v>2021</v>
      </c>
      <c r="K39" s="5" t="s">
        <v>28</v>
      </c>
      <c r="L39" s="3" t="s">
        <v>36</v>
      </c>
      <c r="M39" s="4">
        <v>43.75</v>
      </c>
      <c r="N39" s="3" t="s">
        <v>41</v>
      </c>
      <c r="O39" s="2" t="s">
        <v>45</v>
      </c>
      <c r="P39" s="2" t="s">
        <v>46</v>
      </c>
      <c r="Q39" s="2" t="s">
        <v>21</v>
      </c>
    </row>
    <row r="40" spans="1:17" x14ac:dyDescent="0.25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tr">
        <f>TEXT(Tabla1[[#This Row],[FECHA CURSO]],"mmmm")</f>
        <v>agosto</v>
      </c>
      <c r="J40" s="6">
        <f>YEAR(Tabla1[[#This Row],[FECHA CURSO]])</f>
        <v>2020</v>
      </c>
      <c r="K40" s="5" t="s">
        <v>28</v>
      </c>
      <c r="L40" s="3" t="s">
        <v>20</v>
      </c>
      <c r="M40" s="4">
        <v>56.25</v>
      </c>
      <c r="N40" s="3" t="s">
        <v>21</v>
      </c>
      <c r="O40" s="2" t="s">
        <v>45</v>
      </c>
      <c r="P40" s="2" t="s">
        <v>46</v>
      </c>
      <c r="Q40" s="2" t="s">
        <v>41</v>
      </c>
    </row>
    <row r="41" spans="1:17" x14ac:dyDescent="0.25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tr">
        <f>TEXT(Tabla1[[#This Row],[FECHA CURSO]],"mmmm")</f>
        <v>junio</v>
      </c>
      <c r="J41" s="6">
        <f>YEAR(Tabla1[[#This Row],[FECHA CURSO]])</f>
        <v>2021</v>
      </c>
      <c r="K41" s="5" t="s">
        <v>28</v>
      </c>
      <c r="L41" s="3" t="s">
        <v>29</v>
      </c>
      <c r="M41" s="4">
        <v>22.5</v>
      </c>
      <c r="N41" s="3" t="s">
        <v>21</v>
      </c>
      <c r="O41" s="2" t="s">
        <v>22</v>
      </c>
      <c r="P41" s="2" t="s">
        <v>73</v>
      </c>
      <c r="Q41" s="2" t="s">
        <v>21</v>
      </c>
    </row>
    <row r="42" spans="1:17" x14ac:dyDescent="0.25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tr">
        <f>TEXT(Tabla1[[#This Row],[FECHA CURSO]],"mmmm")</f>
        <v>julio</v>
      </c>
      <c r="J42" s="6">
        <f>YEAR(Tabla1[[#This Row],[FECHA CURSO]])</f>
        <v>2021</v>
      </c>
      <c r="K42" s="5" t="s">
        <v>57</v>
      </c>
      <c r="L42" s="3" t="s">
        <v>36</v>
      </c>
      <c r="M42" s="4">
        <v>12.5</v>
      </c>
      <c r="N42" s="3" t="s">
        <v>21</v>
      </c>
      <c r="O42" s="2" t="s">
        <v>30</v>
      </c>
      <c r="P42" s="2" t="s">
        <v>31</v>
      </c>
      <c r="Q42" s="2" t="s">
        <v>21</v>
      </c>
    </row>
    <row r="43" spans="1:17" x14ac:dyDescent="0.25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tr">
        <f>TEXT(Tabla1[[#This Row],[FECHA CURSO]],"mmmm")</f>
        <v>junio</v>
      </c>
      <c r="J43" s="6">
        <f>YEAR(Tabla1[[#This Row],[FECHA CURSO]])</f>
        <v>2021</v>
      </c>
      <c r="K43" s="5" t="s">
        <v>57</v>
      </c>
      <c r="L43" s="3" t="s">
        <v>40</v>
      </c>
      <c r="M43" s="4">
        <v>15</v>
      </c>
      <c r="N43" s="3" t="s">
        <v>21</v>
      </c>
      <c r="O43" s="2" t="s">
        <v>45</v>
      </c>
      <c r="P43" s="2" t="s">
        <v>46</v>
      </c>
      <c r="Q43" s="2" t="s">
        <v>21</v>
      </c>
    </row>
    <row r="44" spans="1:17" x14ac:dyDescent="0.25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tr">
        <f>TEXT(Tabla1[[#This Row],[FECHA CURSO]],"mmmm")</f>
        <v>noviembre</v>
      </c>
      <c r="J44" s="6">
        <f>YEAR(Tabla1[[#This Row],[FECHA CURSO]])</f>
        <v>2021</v>
      </c>
      <c r="K44" s="5" t="s">
        <v>57</v>
      </c>
      <c r="L44" s="3" t="s">
        <v>20</v>
      </c>
      <c r="M44" s="4">
        <v>168.75</v>
      </c>
      <c r="N44" s="3" t="s">
        <v>21</v>
      </c>
      <c r="O44" s="2" t="s">
        <v>45</v>
      </c>
      <c r="P44" s="2" t="s">
        <v>82</v>
      </c>
      <c r="Q44" s="2" t="s">
        <v>21</v>
      </c>
    </row>
    <row r="45" spans="1:17" x14ac:dyDescent="0.25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tr">
        <f>TEXT(Tabla1[[#This Row],[FECHA CURSO]],"mmmm")</f>
        <v>noviembre</v>
      </c>
      <c r="J45" s="6">
        <f>YEAR(Tabla1[[#This Row],[FECHA CURSO]])</f>
        <v>2020</v>
      </c>
      <c r="K45" s="5" t="s">
        <v>57</v>
      </c>
      <c r="L45" s="3" t="s">
        <v>29</v>
      </c>
      <c r="M45" s="4">
        <v>180</v>
      </c>
      <c r="N45" s="3" t="s">
        <v>21</v>
      </c>
      <c r="O45" s="2" t="s">
        <v>22</v>
      </c>
      <c r="P45" s="2" t="s">
        <v>73</v>
      </c>
      <c r="Q45" s="2" t="s">
        <v>21</v>
      </c>
    </row>
    <row r="46" spans="1:17" x14ac:dyDescent="0.25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tr">
        <f>TEXT(Tabla1[[#This Row],[FECHA CURSO]],"mmmm")</f>
        <v>junio</v>
      </c>
      <c r="J46" s="6">
        <f>YEAR(Tabla1[[#This Row],[FECHA CURSO]])</f>
        <v>2019</v>
      </c>
      <c r="K46" s="5" t="s">
        <v>57</v>
      </c>
      <c r="L46" s="3" t="s">
        <v>36</v>
      </c>
      <c r="M46" s="4">
        <v>108</v>
      </c>
      <c r="N46" s="3" t="s">
        <v>21</v>
      </c>
      <c r="O46" s="2" t="s">
        <v>22</v>
      </c>
      <c r="P46" s="2" t="s">
        <v>73</v>
      </c>
      <c r="Q46" s="2" t="s">
        <v>21</v>
      </c>
    </row>
    <row r="47" spans="1:17" x14ac:dyDescent="0.25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tr">
        <f>TEXT(Tabla1[[#This Row],[FECHA CURSO]],"mmmm")</f>
        <v>junio</v>
      </c>
      <c r="J47" s="6">
        <f>YEAR(Tabla1[[#This Row],[FECHA CURSO]])</f>
        <v>2019</v>
      </c>
      <c r="K47" s="5" t="s">
        <v>28</v>
      </c>
      <c r="L47" s="3" t="s">
        <v>40</v>
      </c>
      <c r="M47" s="4">
        <v>72</v>
      </c>
      <c r="N47" s="3" t="s">
        <v>21</v>
      </c>
      <c r="O47" s="2" t="s">
        <v>22</v>
      </c>
      <c r="P47" s="2" t="s">
        <v>73</v>
      </c>
      <c r="Q47" s="2" t="s">
        <v>21</v>
      </c>
    </row>
    <row r="48" spans="1:17" x14ac:dyDescent="0.25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tr">
        <f>TEXT(Tabla1[[#This Row],[FECHA CURSO]],"mmmm")</f>
        <v>noviembre</v>
      </c>
      <c r="J48" s="6">
        <f>YEAR(Tabla1[[#This Row],[FECHA CURSO]])</f>
        <v>2020</v>
      </c>
      <c r="K48" s="5" t="s">
        <v>57</v>
      </c>
      <c r="L48" s="3" t="s">
        <v>29</v>
      </c>
      <c r="M48" s="4">
        <v>48</v>
      </c>
      <c r="N48" s="3" t="s">
        <v>21</v>
      </c>
      <c r="O48" s="2" t="s">
        <v>45</v>
      </c>
      <c r="P48" s="2" t="s">
        <v>46</v>
      </c>
      <c r="Q48" s="2" t="s">
        <v>21</v>
      </c>
    </row>
    <row r="49" spans="1:17" x14ac:dyDescent="0.25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tr">
        <f>TEXT(Tabla1[[#This Row],[FECHA CURSO]],"mmmm")</f>
        <v>enero</v>
      </c>
      <c r="J49" s="6">
        <f>YEAR(Tabla1[[#This Row],[FECHA CURSO]])</f>
        <v>2019</v>
      </c>
      <c r="K49" s="5" t="s">
        <v>57</v>
      </c>
      <c r="L49" s="3" t="s">
        <v>36</v>
      </c>
      <c r="M49" s="4">
        <v>60</v>
      </c>
      <c r="N49" s="3" t="s">
        <v>21</v>
      </c>
      <c r="O49" s="2" t="s">
        <v>45</v>
      </c>
      <c r="P49" s="2" t="s">
        <v>46</v>
      </c>
      <c r="Q49" s="2" t="s">
        <v>21</v>
      </c>
    </row>
    <row r="50" spans="1:17" x14ac:dyDescent="0.25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tr">
        <f>TEXT(Tabla1[[#This Row],[FECHA CURSO]],"mmmm")</f>
        <v>julio</v>
      </c>
      <c r="J50" s="6">
        <f>YEAR(Tabla1[[#This Row],[FECHA CURSO]])</f>
        <v>2019</v>
      </c>
      <c r="K50" s="5" t="s">
        <v>57</v>
      </c>
      <c r="L50" s="3" t="s">
        <v>40</v>
      </c>
      <c r="M50" s="4">
        <v>100</v>
      </c>
      <c r="N50" s="3" t="s">
        <v>21</v>
      </c>
      <c r="O50" s="2" t="s">
        <v>22</v>
      </c>
      <c r="P50" s="2" t="s">
        <v>101</v>
      </c>
      <c r="Q50" s="2" t="s">
        <v>41</v>
      </c>
    </row>
    <row r="51" spans="1:17" x14ac:dyDescent="0.25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tr">
        <f>TEXT(Tabla1[[#This Row],[FECHA CURSO]],"mmmm")</f>
        <v>enero</v>
      </c>
      <c r="J51" s="6">
        <f>YEAR(Tabla1[[#This Row],[FECHA CURSO]])</f>
        <v>2021</v>
      </c>
      <c r="K51" s="5" t="s">
        <v>28</v>
      </c>
      <c r="L51" s="3" t="s">
        <v>20</v>
      </c>
      <c r="M51" s="4">
        <v>60</v>
      </c>
      <c r="N51" s="3" t="s">
        <v>21</v>
      </c>
      <c r="O51" s="2" t="s">
        <v>22</v>
      </c>
      <c r="P51" s="2" t="s">
        <v>101</v>
      </c>
      <c r="Q51" s="2" t="s">
        <v>41</v>
      </c>
    </row>
    <row r="52" spans="1:17" x14ac:dyDescent="0.25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tr">
        <f>TEXT(Tabla1[[#This Row],[FECHA CURSO]],"mmmm")</f>
        <v>septiembre</v>
      </c>
      <c r="J52" s="6">
        <f>YEAR(Tabla1[[#This Row],[FECHA CURSO]])</f>
        <v>2021</v>
      </c>
      <c r="K52" s="5" t="s">
        <v>28</v>
      </c>
      <c r="L52" s="3" t="s">
        <v>20</v>
      </c>
      <c r="M52" s="4">
        <v>48</v>
      </c>
      <c r="N52" s="3" t="s">
        <v>21</v>
      </c>
      <c r="O52" s="2" t="s">
        <v>30</v>
      </c>
      <c r="P52" s="2" t="s">
        <v>104</v>
      </c>
      <c r="Q52" s="2" t="s">
        <v>41</v>
      </c>
    </row>
    <row r="53" spans="1:17" x14ac:dyDescent="0.25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tr">
        <f>TEXT(Tabla1[[#This Row],[FECHA CURSO]],"mmmm")</f>
        <v>octubre</v>
      </c>
      <c r="J53" s="6">
        <f>YEAR(Tabla1[[#This Row],[FECHA CURSO]])</f>
        <v>2019</v>
      </c>
      <c r="K53" s="5" t="s">
        <v>28</v>
      </c>
      <c r="L53" s="3" t="s">
        <v>29</v>
      </c>
      <c r="M53" s="4">
        <v>48</v>
      </c>
      <c r="N53" s="3" t="s">
        <v>21</v>
      </c>
      <c r="O53" s="2" t="s">
        <v>22</v>
      </c>
      <c r="P53" s="2" t="s">
        <v>101</v>
      </c>
      <c r="Q53" s="2" t="s">
        <v>21</v>
      </c>
    </row>
    <row r="54" spans="1:17" x14ac:dyDescent="0.25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tr">
        <f>TEXT(Tabla1[[#This Row],[FECHA CURSO]],"mmmm")</f>
        <v>febrero</v>
      </c>
      <c r="J54" s="6">
        <f>YEAR(Tabla1[[#This Row],[FECHA CURSO]])</f>
        <v>2019</v>
      </c>
      <c r="K54" s="5" t="s">
        <v>28</v>
      </c>
      <c r="L54" s="3" t="s">
        <v>36</v>
      </c>
      <c r="M54" s="4">
        <v>72</v>
      </c>
      <c r="N54" s="3" t="s">
        <v>21</v>
      </c>
      <c r="O54" s="2" t="s">
        <v>30</v>
      </c>
      <c r="P54" s="2" t="s">
        <v>104</v>
      </c>
      <c r="Q54" s="2" t="s">
        <v>21</v>
      </c>
    </row>
    <row r="55" spans="1:17" x14ac:dyDescent="0.25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tr">
        <f>TEXT(Tabla1[[#This Row],[FECHA CURSO]],"mmmm")</f>
        <v>septiembre</v>
      </c>
      <c r="J55" s="6">
        <f>YEAR(Tabla1[[#This Row],[FECHA CURSO]])</f>
        <v>2019</v>
      </c>
      <c r="K55" s="5" t="s">
        <v>57</v>
      </c>
      <c r="L55" s="3" t="s">
        <v>40</v>
      </c>
      <c r="M55" s="4">
        <v>61.25</v>
      </c>
      <c r="N55" s="3" t="s">
        <v>41</v>
      </c>
      <c r="O55" s="2" t="s">
        <v>45</v>
      </c>
      <c r="P55" s="2" t="s">
        <v>46</v>
      </c>
      <c r="Q55" s="2" t="s">
        <v>41</v>
      </c>
    </row>
    <row r="56" spans="1:17" x14ac:dyDescent="0.25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tr">
        <f>TEXT(Tabla1[[#This Row],[FECHA CURSO]],"mmmm")</f>
        <v>enero</v>
      </c>
      <c r="J56" s="6">
        <f>YEAR(Tabla1[[#This Row],[FECHA CURSO]])</f>
        <v>2019</v>
      </c>
      <c r="K56" s="5" t="s">
        <v>57</v>
      </c>
      <c r="L56" s="3" t="s">
        <v>29</v>
      </c>
      <c r="M56" s="4">
        <v>70</v>
      </c>
      <c r="N56" s="3" t="s">
        <v>41</v>
      </c>
      <c r="O56" s="2" t="s">
        <v>30</v>
      </c>
      <c r="P56" s="2" t="s">
        <v>104</v>
      </c>
      <c r="Q56" s="2" t="s">
        <v>21</v>
      </c>
    </row>
    <row r="57" spans="1:17" x14ac:dyDescent="0.25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tr">
        <f>TEXT(Tabla1[[#This Row],[FECHA CURSO]],"mmmm")</f>
        <v>diciembre</v>
      </c>
      <c r="J57" s="6">
        <f>YEAR(Tabla1[[#This Row],[FECHA CURSO]])</f>
        <v>2019</v>
      </c>
      <c r="K57" s="5" t="s">
        <v>57</v>
      </c>
      <c r="L57" s="3" t="s">
        <v>36</v>
      </c>
      <c r="M57" s="4">
        <v>70</v>
      </c>
      <c r="N57" s="3" t="s">
        <v>41</v>
      </c>
      <c r="O57" s="2" t="s">
        <v>22</v>
      </c>
      <c r="P57" s="2" t="s">
        <v>101</v>
      </c>
      <c r="Q57" s="2" t="s">
        <v>21</v>
      </c>
    </row>
    <row r="58" spans="1:17" x14ac:dyDescent="0.25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tr">
        <f>TEXT(Tabla1[[#This Row],[FECHA CURSO]],"mmmm")</f>
        <v>diciembre</v>
      </c>
      <c r="J58" s="6">
        <f>YEAR(Tabla1[[#This Row],[FECHA CURSO]])</f>
        <v>2019</v>
      </c>
      <c r="K58" s="5" t="s">
        <v>57</v>
      </c>
      <c r="L58" s="3" t="s">
        <v>40</v>
      </c>
      <c r="M58" s="4">
        <v>43.75</v>
      </c>
      <c r="N58" s="3" t="s">
        <v>41</v>
      </c>
      <c r="O58" s="2" t="s">
        <v>30</v>
      </c>
      <c r="P58" s="2" t="s">
        <v>31</v>
      </c>
      <c r="Q58" s="2" t="s">
        <v>41</v>
      </c>
    </row>
    <row r="59" spans="1:17" x14ac:dyDescent="0.25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tr">
        <f>TEXT(Tabla1[[#This Row],[FECHA CURSO]],"mmmm")</f>
        <v>marzo</v>
      </c>
      <c r="J59" s="6">
        <f>YEAR(Tabla1[[#This Row],[FECHA CURSO]])</f>
        <v>2021</v>
      </c>
      <c r="K59" s="5" t="s">
        <v>57</v>
      </c>
      <c r="L59" s="3" t="s">
        <v>20</v>
      </c>
      <c r="M59" s="4">
        <v>506.25</v>
      </c>
      <c r="N59" s="3" t="s">
        <v>41</v>
      </c>
      <c r="O59" s="2" t="s">
        <v>45</v>
      </c>
      <c r="P59" s="2" t="s">
        <v>82</v>
      </c>
      <c r="Q59" s="2" t="s">
        <v>21</v>
      </c>
    </row>
    <row r="60" spans="1:17" x14ac:dyDescent="0.25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tr">
        <f>TEXT(Tabla1[[#This Row],[FECHA CURSO]],"mmmm")</f>
        <v>diciembre</v>
      </c>
      <c r="J60" s="6">
        <f>YEAR(Tabla1[[#This Row],[FECHA CURSO]])</f>
        <v>2019</v>
      </c>
      <c r="K60" s="5" t="s">
        <v>28</v>
      </c>
      <c r="L60" s="3" t="s">
        <v>29</v>
      </c>
      <c r="M60" s="4">
        <v>180</v>
      </c>
      <c r="N60" s="3" t="s">
        <v>41</v>
      </c>
      <c r="O60" s="2" t="s">
        <v>22</v>
      </c>
      <c r="P60" s="2" t="s">
        <v>101</v>
      </c>
      <c r="Q60" s="2" t="s">
        <v>21</v>
      </c>
    </row>
    <row r="61" spans="1:17" x14ac:dyDescent="0.25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tr">
        <f>TEXT(Tabla1[[#This Row],[FECHA CURSO]],"mmmm")</f>
        <v>noviembre</v>
      </c>
      <c r="J61" s="6">
        <f>YEAR(Tabla1[[#This Row],[FECHA CURSO]])</f>
        <v>2020</v>
      </c>
      <c r="K61" s="5" t="s">
        <v>19</v>
      </c>
      <c r="L61" s="3" t="s">
        <v>36</v>
      </c>
      <c r="M61" s="4">
        <v>144</v>
      </c>
      <c r="N61" s="3" t="s">
        <v>21</v>
      </c>
      <c r="O61" s="2" t="s">
        <v>22</v>
      </c>
      <c r="P61" s="2" t="s">
        <v>101</v>
      </c>
      <c r="Q61" s="2" t="s">
        <v>21</v>
      </c>
    </row>
    <row r="62" spans="1:17" x14ac:dyDescent="0.25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tr">
        <f>TEXT(Tabla1[[#This Row],[FECHA CURSO]],"mmmm")</f>
        <v>octubre</v>
      </c>
      <c r="J62" s="6">
        <f>YEAR(Tabla1[[#This Row],[FECHA CURSO]])</f>
        <v>2019</v>
      </c>
      <c r="K62" s="5" t="s">
        <v>28</v>
      </c>
      <c r="L62" s="3" t="s">
        <v>20</v>
      </c>
      <c r="M62" s="4">
        <v>72</v>
      </c>
      <c r="N62" s="3" t="s">
        <v>41</v>
      </c>
      <c r="O62" s="2" t="s">
        <v>45</v>
      </c>
      <c r="P62" s="2" t="s">
        <v>82</v>
      </c>
      <c r="Q62" s="2" t="s">
        <v>21</v>
      </c>
    </row>
    <row r="63" spans="1:17" x14ac:dyDescent="0.25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tr">
        <f>TEXT(Tabla1[[#This Row],[FECHA CURSO]],"mmmm")</f>
        <v>marzo</v>
      </c>
      <c r="J63" s="6">
        <f>YEAR(Tabla1[[#This Row],[FECHA CURSO]])</f>
        <v>2021</v>
      </c>
      <c r="K63" s="5" t="s">
        <v>19</v>
      </c>
      <c r="L63" s="3" t="s">
        <v>29</v>
      </c>
      <c r="M63" s="4">
        <v>48</v>
      </c>
      <c r="N63" s="3" t="s">
        <v>41</v>
      </c>
      <c r="O63" s="2" t="s">
        <v>45</v>
      </c>
      <c r="P63" s="2" t="s">
        <v>82</v>
      </c>
      <c r="Q63" s="2" t="s">
        <v>21</v>
      </c>
    </row>
    <row r="64" spans="1:17" x14ac:dyDescent="0.25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tr">
        <f>TEXT(Tabla1[[#This Row],[FECHA CURSO]],"mmmm")</f>
        <v>marzo</v>
      </c>
      <c r="J64" s="6">
        <f>YEAR(Tabla1[[#This Row],[FECHA CURSO]])</f>
        <v>2019</v>
      </c>
      <c r="K64" s="5" t="s">
        <v>19</v>
      </c>
      <c r="L64" s="3" t="s">
        <v>36</v>
      </c>
      <c r="M64" s="4">
        <v>60</v>
      </c>
      <c r="N64" s="3" t="s">
        <v>21</v>
      </c>
      <c r="O64" s="2" t="s">
        <v>22</v>
      </c>
      <c r="P64" s="2" t="s">
        <v>101</v>
      </c>
      <c r="Q64" s="2" t="s">
        <v>21</v>
      </c>
    </row>
    <row r="65" spans="1:17" x14ac:dyDescent="0.25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tr">
        <f>TEXT(Tabla1[[#This Row],[FECHA CURSO]],"mmmm")</f>
        <v>abril</v>
      </c>
      <c r="J65" s="6">
        <f>YEAR(Tabla1[[#This Row],[FECHA CURSO]])</f>
        <v>2021</v>
      </c>
      <c r="K65" s="5" t="s">
        <v>19</v>
      </c>
      <c r="L65" s="3" t="s">
        <v>40</v>
      </c>
      <c r="M65" s="4">
        <v>80</v>
      </c>
      <c r="N65" s="3" t="s">
        <v>41</v>
      </c>
      <c r="O65" s="2" t="s">
        <v>30</v>
      </c>
      <c r="P65" s="2" t="s">
        <v>104</v>
      </c>
      <c r="Q65" s="2" t="s">
        <v>21</v>
      </c>
    </row>
    <row r="66" spans="1:17" x14ac:dyDescent="0.25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tr">
        <f>TEXT(Tabla1[[#This Row],[FECHA CURSO]],"mmmm")</f>
        <v>abril</v>
      </c>
      <c r="J66" s="6">
        <f>YEAR(Tabla1[[#This Row],[FECHA CURSO]])</f>
        <v>2019</v>
      </c>
      <c r="K66" s="5" t="s">
        <v>19</v>
      </c>
      <c r="L66" s="3" t="s">
        <v>20</v>
      </c>
      <c r="M66" s="4">
        <v>100</v>
      </c>
      <c r="N66" s="3" t="s">
        <v>21</v>
      </c>
      <c r="O66" s="2" t="s">
        <v>45</v>
      </c>
      <c r="P66" s="2" t="s">
        <v>82</v>
      </c>
      <c r="Q66" s="2" t="s">
        <v>21</v>
      </c>
    </row>
    <row r="67" spans="1:17" x14ac:dyDescent="0.25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tr">
        <f>TEXT(Tabla1[[#This Row],[FECHA CURSO]],"mmmm")</f>
        <v>marzo</v>
      </c>
      <c r="J67" s="6">
        <f>YEAR(Tabla1[[#This Row],[FECHA CURSO]])</f>
        <v>2020</v>
      </c>
      <c r="K67" s="5" t="s">
        <v>28</v>
      </c>
      <c r="L67" s="3" t="s">
        <v>29</v>
      </c>
      <c r="M67" s="4">
        <v>72</v>
      </c>
      <c r="N67" s="3" t="s">
        <v>21</v>
      </c>
      <c r="O67" s="2" t="s">
        <v>45</v>
      </c>
      <c r="P67" s="2" t="s">
        <v>82</v>
      </c>
      <c r="Q67" s="2" t="s">
        <v>21</v>
      </c>
    </row>
    <row r="68" spans="1:17" x14ac:dyDescent="0.25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tr">
        <f>TEXT(Tabla1[[#This Row],[FECHA CURSO]],"mmmm")</f>
        <v>octubre</v>
      </c>
      <c r="J68" s="6">
        <f>YEAR(Tabla1[[#This Row],[FECHA CURSO]])</f>
        <v>2019</v>
      </c>
      <c r="K68" s="5" t="s">
        <v>28</v>
      </c>
      <c r="L68" s="3" t="s">
        <v>36</v>
      </c>
      <c r="M68" s="4">
        <v>96</v>
      </c>
      <c r="N68" s="3" t="s">
        <v>21</v>
      </c>
      <c r="O68" s="2" t="s">
        <v>22</v>
      </c>
      <c r="P68" s="2" t="s">
        <v>101</v>
      </c>
      <c r="Q68" s="2" t="s">
        <v>21</v>
      </c>
    </row>
    <row r="69" spans="1:17" x14ac:dyDescent="0.25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tr">
        <f>TEXT(Tabla1[[#This Row],[FECHA CURSO]],"mmmm")</f>
        <v>diciembre</v>
      </c>
      <c r="J69" s="6">
        <f>YEAR(Tabla1[[#This Row],[FECHA CURSO]])</f>
        <v>2020</v>
      </c>
      <c r="K69" s="5" t="s">
        <v>28</v>
      </c>
      <c r="L69" s="3" t="s">
        <v>40</v>
      </c>
      <c r="M69" s="4">
        <v>84</v>
      </c>
      <c r="N69" s="3" t="s">
        <v>21</v>
      </c>
      <c r="O69" s="2" t="s">
        <v>22</v>
      </c>
      <c r="P69" s="2" t="s">
        <v>101</v>
      </c>
      <c r="Q69" s="2" t="s">
        <v>21</v>
      </c>
    </row>
    <row r="70" spans="1:17" x14ac:dyDescent="0.25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tr">
        <f>TEXT(Tabla1[[#This Row],[FECHA CURSO]],"mmmm")</f>
        <v>septiembre</v>
      </c>
      <c r="J70" s="6">
        <f>YEAR(Tabla1[[#This Row],[FECHA CURSO]])</f>
        <v>2019</v>
      </c>
      <c r="K70" s="5" t="s">
        <v>28</v>
      </c>
      <c r="L70" s="3" t="s">
        <v>29</v>
      </c>
      <c r="M70" s="4">
        <v>78.75</v>
      </c>
      <c r="N70" s="3" t="s">
        <v>21</v>
      </c>
      <c r="O70" s="2" t="s">
        <v>22</v>
      </c>
      <c r="P70" s="2" t="s">
        <v>101</v>
      </c>
      <c r="Q70" s="2" t="s">
        <v>21</v>
      </c>
    </row>
    <row r="71" spans="1:17" x14ac:dyDescent="0.25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tr">
        <f>TEXT(Tabla1[[#This Row],[FECHA CURSO]],"mmmm")</f>
        <v>octubre</v>
      </c>
      <c r="J71" s="6">
        <f>YEAR(Tabla1[[#This Row],[FECHA CURSO]])</f>
        <v>2021</v>
      </c>
      <c r="K71" s="5" t="s">
        <v>57</v>
      </c>
      <c r="L71" s="3" t="s">
        <v>36</v>
      </c>
      <c r="M71" s="4">
        <v>31.5</v>
      </c>
      <c r="N71" s="3" t="s">
        <v>21</v>
      </c>
      <c r="O71" s="2" t="s">
        <v>45</v>
      </c>
      <c r="P71" s="2" t="s">
        <v>82</v>
      </c>
      <c r="Q71" s="2" t="s">
        <v>21</v>
      </c>
    </row>
    <row r="72" spans="1:17" x14ac:dyDescent="0.25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tr">
        <f>TEXT(Tabla1[[#This Row],[FECHA CURSO]],"mmmm")</f>
        <v>mayo</v>
      </c>
      <c r="J72" s="6">
        <f>YEAR(Tabla1[[#This Row],[FECHA CURSO]])</f>
        <v>2021</v>
      </c>
      <c r="K72" s="5" t="s">
        <v>57</v>
      </c>
      <c r="L72" s="3" t="s">
        <v>40</v>
      </c>
      <c r="M72" s="4">
        <v>17.5</v>
      </c>
      <c r="N72" s="3" t="s">
        <v>21</v>
      </c>
      <c r="O72" s="2" t="s">
        <v>45</v>
      </c>
      <c r="P72" s="2" t="s">
        <v>82</v>
      </c>
      <c r="Q72" s="2" t="s">
        <v>21</v>
      </c>
    </row>
    <row r="73" spans="1:17" x14ac:dyDescent="0.25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tr">
        <f>TEXT(Tabla1[[#This Row],[FECHA CURSO]],"mmmm")</f>
        <v>agosto</v>
      </c>
      <c r="J73" s="6">
        <f>YEAR(Tabla1[[#This Row],[FECHA CURSO]])</f>
        <v>2021</v>
      </c>
      <c r="K73" s="5" t="s">
        <v>57</v>
      </c>
      <c r="L73" s="3" t="s">
        <v>20</v>
      </c>
      <c r="M73" s="4">
        <v>78.75</v>
      </c>
      <c r="N73" s="3" t="s">
        <v>21</v>
      </c>
      <c r="O73" s="2" t="s">
        <v>22</v>
      </c>
      <c r="P73" s="2" t="s">
        <v>101</v>
      </c>
      <c r="Q73" s="2" t="s">
        <v>21</v>
      </c>
    </row>
    <row r="74" spans="1:17" x14ac:dyDescent="0.25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tr">
        <f>TEXT(Tabla1[[#This Row],[FECHA CURSO]],"mmmm")</f>
        <v>mayo</v>
      </c>
      <c r="J74" s="6">
        <f>YEAR(Tabla1[[#This Row],[FECHA CURSO]])</f>
        <v>2019</v>
      </c>
      <c r="K74" s="5" t="s">
        <v>28</v>
      </c>
      <c r="L74" s="3" t="s">
        <v>29</v>
      </c>
      <c r="M74" s="4">
        <v>60</v>
      </c>
      <c r="N74" s="3" t="s">
        <v>21</v>
      </c>
      <c r="O74" s="2" t="s">
        <v>22</v>
      </c>
      <c r="P74" s="2" t="s">
        <v>101</v>
      </c>
      <c r="Q74" s="2" t="s">
        <v>21</v>
      </c>
    </row>
    <row r="75" spans="1:17" x14ac:dyDescent="0.25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tr">
        <f>TEXT(Tabla1[[#This Row],[FECHA CURSO]],"mmmm")</f>
        <v>mayo</v>
      </c>
      <c r="J75" s="6">
        <f>YEAR(Tabla1[[#This Row],[FECHA CURSO]])</f>
        <v>2019</v>
      </c>
      <c r="K75" s="5" t="s">
        <v>28</v>
      </c>
      <c r="L75" s="3" t="s">
        <v>36</v>
      </c>
      <c r="M75" s="4">
        <v>80</v>
      </c>
      <c r="N75" s="3" t="s">
        <v>21</v>
      </c>
      <c r="O75" s="2" t="s">
        <v>22</v>
      </c>
      <c r="P75" s="2" t="s">
        <v>101</v>
      </c>
      <c r="Q75" s="2" t="s">
        <v>21</v>
      </c>
    </row>
    <row r="76" spans="1:17" x14ac:dyDescent="0.25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tr">
        <f>TEXT(Tabla1[[#This Row],[FECHA CURSO]],"mmmm")</f>
        <v>enero</v>
      </c>
      <c r="J76" s="6">
        <f>YEAR(Tabla1[[#This Row],[FECHA CURSO]])</f>
        <v>2019</v>
      </c>
      <c r="K76" s="5" t="s">
        <v>28</v>
      </c>
      <c r="L76" s="3" t="s">
        <v>20</v>
      </c>
      <c r="M76" s="4">
        <v>17.5</v>
      </c>
      <c r="N76" s="3" t="s">
        <v>21</v>
      </c>
      <c r="O76" s="2" t="s">
        <v>45</v>
      </c>
      <c r="P76" s="2" t="s">
        <v>82</v>
      </c>
      <c r="Q76" s="2" t="s">
        <v>21</v>
      </c>
    </row>
    <row r="77" spans="1:17" x14ac:dyDescent="0.25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tr">
        <f>TEXT(Tabla1[[#This Row],[FECHA CURSO]],"mmmm")</f>
        <v>octubre</v>
      </c>
      <c r="J77" s="6">
        <f>YEAR(Tabla1[[#This Row],[FECHA CURSO]])</f>
        <v>2020</v>
      </c>
      <c r="K77" s="5" t="s">
        <v>28</v>
      </c>
      <c r="L77" s="3" t="s">
        <v>29</v>
      </c>
      <c r="M77" s="4">
        <v>21</v>
      </c>
      <c r="N77" s="3" t="s">
        <v>21</v>
      </c>
      <c r="O77" s="2" t="s">
        <v>30</v>
      </c>
      <c r="P77" s="2" t="s">
        <v>104</v>
      </c>
      <c r="Q77" s="2" t="s">
        <v>21</v>
      </c>
    </row>
    <row r="78" spans="1:17" x14ac:dyDescent="0.25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tr">
        <f>TEXT(Tabla1[[#This Row],[FECHA CURSO]],"mmmm")</f>
        <v>octubre</v>
      </c>
      <c r="J78" s="6">
        <f>YEAR(Tabla1[[#This Row],[FECHA CURSO]])</f>
        <v>2021</v>
      </c>
      <c r="K78" s="5" t="s">
        <v>57</v>
      </c>
      <c r="L78" s="3" t="s">
        <v>36</v>
      </c>
      <c r="M78" s="4">
        <v>26.25</v>
      </c>
      <c r="N78" s="3" t="s">
        <v>21</v>
      </c>
      <c r="O78" s="2" t="s">
        <v>45</v>
      </c>
      <c r="P78" s="2" t="s">
        <v>82</v>
      </c>
      <c r="Q78" s="2" t="s">
        <v>21</v>
      </c>
    </row>
    <row r="79" spans="1:17" x14ac:dyDescent="0.25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tr">
        <f>TEXT(Tabla1[[#This Row],[FECHA CURSO]],"mmmm")</f>
        <v>agosto</v>
      </c>
      <c r="J79" s="6">
        <f>YEAR(Tabla1[[#This Row],[FECHA CURSO]])</f>
        <v>2020</v>
      </c>
      <c r="K79" s="5" t="s">
        <v>19</v>
      </c>
      <c r="L79" s="3" t="s">
        <v>40</v>
      </c>
      <c r="M79" s="4">
        <v>48</v>
      </c>
      <c r="N79" s="3" t="s">
        <v>41</v>
      </c>
      <c r="O79" s="2" t="s">
        <v>22</v>
      </c>
      <c r="P79" s="2" t="s">
        <v>101</v>
      </c>
      <c r="Q79" s="2" t="s">
        <v>21</v>
      </c>
    </row>
    <row r="80" spans="1:17" x14ac:dyDescent="0.25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tr">
        <f>TEXT(Tabla1[[#This Row],[FECHA CURSO]],"mmmm")</f>
        <v>enero</v>
      </c>
      <c r="J80" s="6">
        <f>YEAR(Tabla1[[#This Row],[FECHA CURSO]])</f>
        <v>2021</v>
      </c>
      <c r="K80" s="5" t="s">
        <v>19</v>
      </c>
      <c r="L80" s="3" t="s">
        <v>29</v>
      </c>
      <c r="M80" s="4">
        <v>60</v>
      </c>
      <c r="N80" s="3" t="s">
        <v>41</v>
      </c>
      <c r="O80" s="2" t="s">
        <v>30</v>
      </c>
      <c r="P80" s="2" t="s">
        <v>104</v>
      </c>
      <c r="Q80" s="2" t="s">
        <v>21</v>
      </c>
    </row>
    <row r="81" spans="1:17" x14ac:dyDescent="0.25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tr">
        <f>TEXT(Tabla1[[#This Row],[FECHA CURSO]],"mmmm")</f>
        <v>febrero</v>
      </c>
      <c r="J81" s="6">
        <f>YEAR(Tabla1[[#This Row],[FECHA CURSO]])</f>
        <v>2020</v>
      </c>
      <c r="K81" s="5" t="s">
        <v>19</v>
      </c>
      <c r="L81" s="3" t="s">
        <v>36</v>
      </c>
      <c r="M81" s="4">
        <v>72</v>
      </c>
      <c r="N81" s="3" t="s">
        <v>21</v>
      </c>
      <c r="O81" s="2" t="s">
        <v>45</v>
      </c>
      <c r="P81" s="2" t="s">
        <v>82</v>
      </c>
      <c r="Q81" s="2" t="s">
        <v>21</v>
      </c>
    </row>
    <row r="82" spans="1:17" x14ac:dyDescent="0.25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tr">
        <f>TEXT(Tabla1[[#This Row],[FECHA CURSO]],"mmmm")</f>
        <v>febrero</v>
      </c>
      <c r="J82" s="6">
        <f>YEAR(Tabla1[[#This Row],[FECHA CURSO]])</f>
        <v>2019</v>
      </c>
      <c r="K82" s="5" t="s">
        <v>19</v>
      </c>
      <c r="L82" s="3" t="s">
        <v>40</v>
      </c>
      <c r="M82" s="4">
        <v>50</v>
      </c>
      <c r="N82" s="3" t="s">
        <v>41</v>
      </c>
      <c r="O82" s="2" t="s">
        <v>30</v>
      </c>
      <c r="P82" s="2" t="s">
        <v>104</v>
      </c>
      <c r="Q82" s="2" t="s">
        <v>21</v>
      </c>
    </row>
    <row r="83" spans="1:17" x14ac:dyDescent="0.25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tr">
        <f>TEXT(Tabla1[[#This Row],[FECHA CURSO]],"mmmm")</f>
        <v>marzo</v>
      </c>
      <c r="J83" s="6">
        <f>YEAR(Tabla1[[#This Row],[FECHA CURSO]])</f>
        <v>2021</v>
      </c>
      <c r="K83" s="5" t="s">
        <v>28</v>
      </c>
      <c r="L83" s="3" t="s">
        <v>20</v>
      </c>
      <c r="M83" s="4">
        <v>43.75</v>
      </c>
      <c r="N83" s="3" t="s">
        <v>21</v>
      </c>
      <c r="O83" s="2" t="s">
        <v>22</v>
      </c>
      <c r="P83" s="2" t="s">
        <v>101</v>
      </c>
      <c r="Q83" s="2" t="s">
        <v>21</v>
      </c>
    </row>
    <row r="84" spans="1:17" x14ac:dyDescent="0.25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tr">
        <f>TEXT(Tabla1[[#This Row],[FECHA CURSO]],"mmmm")</f>
        <v>mayo</v>
      </c>
      <c r="J84" s="6">
        <f>YEAR(Tabla1[[#This Row],[FECHA CURSO]])</f>
        <v>2019</v>
      </c>
      <c r="K84" s="5" t="s">
        <v>28</v>
      </c>
      <c r="L84" s="3" t="s">
        <v>29</v>
      </c>
      <c r="M84" s="4">
        <v>56.25</v>
      </c>
      <c r="N84" s="3" t="s">
        <v>21</v>
      </c>
      <c r="O84" s="2" t="s">
        <v>30</v>
      </c>
      <c r="P84" s="2" t="s">
        <v>104</v>
      </c>
      <c r="Q84" s="2" t="s">
        <v>21</v>
      </c>
    </row>
    <row r="85" spans="1:17" x14ac:dyDescent="0.25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tr">
        <f>TEXT(Tabla1[[#This Row],[FECHA CURSO]],"mmmm")</f>
        <v>enero</v>
      </c>
      <c r="J85" s="6">
        <f>YEAR(Tabla1[[#This Row],[FECHA CURSO]])</f>
        <v>2021</v>
      </c>
      <c r="K85" s="5" t="s">
        <v>28</v>
      </c>
      <c r="L85" s="3" t="s">
        <v>36</v>
      </c>
      <c r="M85" s="4">
        <v>22.5</v>
      </c>
      <c r="N85" s="3" t="s">
        <v>21</v>
      </c>
      <c r="O85" s="2" t="s">
        <v>45</v>
      </c>
      <c r="P85" s="2" t="s">
        <v>46</v>
      </c>
      <c r="Q85" s="2" t="s">
        <v>21</v>
      </c>
    </row>
    <row r="86" spans="1:17" x14ac:dyDescent="0.25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tr">
        <f>TEXT(Tabla1[[#This Row],[FECHA CURSO]],"mmmm")</f>
        <v>mayo</v>
      </c>
      <c r="J86" s="6">
        <f>YEAR(Tabla1[[#This Row],[FECHA CURSO]])</f>
        <v>2021</v>
      </c>
      <c r="K86" s="5" t="s">
        <v>28</v>
      </c>
      <c r="L86" s="3" t="s">
        <v>40</v>
      </c>
      <c r="M86" s="4">
        <v>12.5</v>
      </c>
      <c r="N86" s="3" t="s">
        <v>21</v>
      </c>
      <c r="O86" s="2" t="s">
        <v>22</v>
      </c>
      <c r="P86" s="2" t="s">
        <v>101</v>
      </c>
      <c r="Q86" s="2" t="s">
        <v>41</v>
      </c>
    </row>
    <row r="87" spans="1:17" x14ac:dyDescent="0.25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tr">
        <f>TEXT(Tabla1[[#This Row],[FECHA CURSO]],"mmmm")</f>
        <v>agosto</v>
      </c>
      <c r="J87" s="6">
        <f>YEAR(Tabla1[[#This Row],[FECHA CURSO]])</f>
        <v>2019</v>
      </c>
      <c r="K87" s="5" t="s">
        <v>57</v>
      </c>
      <c r="L87" s="3" t="s">
        <v>20</v>
      </c>
      <c r="M87" s="4">
        <v>135</v>
      </c>
      <c r="N87" s="3" t="s">
        <v>21</v>
      </c>
      <c r="O87" s="2" t="s">
        <v>30</v>
      </c>
      <c r="P87" s="2" t="s">
        <v>104</v>
      </c>
      <c r="Q87" s="2" t="s">
        <v>41</v>
      </c>
    </row>
    <row r="88" spans="1:17" x14ac:dyDescent="0.25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tr">
        <f>TEXT(Tabla1[[#This Row],[FECHA CURSO]],"mmmm")</f>
        <v>mayo</v>
      </c>
      <c r="J88" s="6">
        <f>YEAR(Tabla1[[#This Row],[FECHA CURSO]])</f>
        <v>2021</v>
      </c>
      <c r="K88" s="5" t="s">
        <v>57</v>
      </c>
      <c r="L88" s="3" t="s">
        <v>29</v>
      </c>
      <c r="M88" s="4">
        <v>108</v>
      </c>
      <c r="N88" s="3" t="s">
        <v>21</v>
      </c>
      <c r="O88" s="2" t="s">
        <v>22</v>
      </c>
      <c r="P88" s="2" t="s">
        <v>23</v>
      </c>
      <c r="Q88" s="2" t="s">
        <v>21</v>
      </c>
    </row>
    <row r="89" spans="1:17" x14ac:dyDescent="0.25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tr">
        <f>TEXT(Tabla1[[#This Row],[FECHA CURSO]],"mmmm")</f>
        <v>abril</v>
      </c>
      <c r="J89" s="6">
        <f>YEAR(Tabla1[[#This Row],[FECHA CURSO]])</f>
        <v>2019</v>
      </c>
      <c r="K89" s="5" t="s">
        <v>57</v>
      </c>
      <c r="L89" s="3" t="s">
        <v>36</v>
      </c>
      <c r="M89" s="4">
        <v>180</v>
      </c>
      <c r="N89" s="3" t="s">
        <v>21</v>
      </c>
      <c r="O89" s="2" t="s">
        <v>30</v>
      </c>
      <c r="P89" s="2" t="s">
        <v>104</v>
      </c>
      <c r="Q89" s="2" t="s">
        <v>21</v>
      </c>
    </row>
    <row r="90" spans="1:17" x14ac:dyDescent="0.25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tr">
        <f>TEXT(Tabla1[[#This Row],[FECHA CURSO]],"mmmm")</f>
        <v>diciembre</v>
      </c>
      <c r="J90" s="6">
        <f>YEAR(Tabla1[[#This Row],[FECHA CURSO]])</f>
        <v>2019</v>
      </c>
      <c r="K90" s="5" t="s">
        <v>28</v>
      </c>
      <c r="L90" s="3" t="s">
        <v>40</v>
      </c>
      <c r="M90" s="4">
        <v>26.25</v>
      </c>
      <c r="N90" s="3" t="s">
        <v>21</v>
      </c>
      <c r="O90" s="2" t="s">
        <v>45</v>
      </c>
      <c r="P90" s="2" t="s">
        <v>46</v>
      </c>
      <c r="Q90" s="2" t="s">
        <v>41</v>
      </c>
    </row>
    <row r="91" spans="1:17" x14ac:dyDescent="0.25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tr">
        <f>TEXT(Tabla1[[#This Row],[FECHA CURSO]],"mmmm")</f>
        <v>octubre</v>
      </c>
      <c r="J91" s="6">
        <f>YEAR(Tabla1[[#This Row],[FECHA CURSO]])</f>
        <v>2019</v>
      </c>
      <c r="K91" s="5" t="s">
        <v>28</v>
      </c>
      <c r="L91" s="3" t="s">
        <v>29</v>
      </c>
      <c r="M91" s="4">
        <v>24</v>
      </c>
      <c r="N91" s="3" t="s">
        <v>21</v>
      </c>
      <c r="O91" s="2" t="s">
        <v>30</v>
      </c>
      <c r="P91" s="2" t="s">
        <v>104</v>
      </c>
      <c r="Q91" s="2" t="s">
        <v>21</v>
      </c>
    </row>
    <row r="92" spans="1:17" x14ac:dyDescent="0.25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tr">
        <f>TEXT(Tabla1[[#This Row],[FECHA CURSO]],"mmmm")</f>
        <v>abril</v>
      </c>
      <c r="J92" s="6">
        <f>YEAR(Tabla1[[#This Row],[FECHA CURSO]])</f>
        <v>2019</v>
      </c>
      <c r="K92" s="5" t="s">
        <v>28</v>
      </c>
      <c r="L92" s="3" t="s">
        <v>36</v>
      </c>
      <c r="M92" s="4">
        <v>28.8</v>
      </c>
      <c r="N92" s="3" t="s">
        <v>21</v>
      </c>
      <c r="O92" s="2" t="s">
        <v>22</v>
      </c>
      <c r="P92" s="2" t="s">
        <v>23</v>
      </c>
      <c r="Q92" s="2" t="s">
        <v>21</v>
      </c>
    </row>
    <row r="93" spans="1:17" x14ac:dyDescent="0.25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tr">
        <f>TEXT(Tabla1[[#This Row],[FECHA CURSO]],"mmmm")</f>
        <v>agosto</v>
      </c>
      <c r="J93" s="6">
        <f>YEAR(Tabla1[[#This Row],[FECHA CURSO]])</f>
        <v>2020</v>
      </c>
      <c r="K93" s="5" t="s">
        <v>28</v>
      </c>
      <c r="L93" s="3" t="s">
        <v>40</v>
      </c>
      <c r="M93" s="4">
        <v>36</v>
      </c>
      <c r="N93" s="3" t="s">
        <v>21</v>
      </c>
      <c r="O93" s="2" t="s">
        <v>30</v>
      </c>
      <c r="P93" s="2" t="s">
        <v>104</v>
      </c>
      <c r="Q93" s="2" t="s">
        <v>41</v>
      </c>
    </row>
    <row r="94" spans="1:17" x14ac:dyDescent="0.25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tr">
        <f>TEXT(Tabla1[[#This Row],[FECHA CURSO]],"mmmm")</f>
        <v>agosto</v>
      </c>
      <c r="J94" s="6">
        <f>YEAR(Tabla1[[#This Row],[FECHA CURSO]])</f>
        <v>2021</v>
      </c>
      <c r="K94" s="5" t="s">
        <v>57</v>
      </c>
      <c r="L94" s="3" t="s">
        <v>20</v>
      </c>
      <c r="M94" s="4">
        <v>31.25</v>
      </c>
      <c r="N94" s="3" t="s">
        <v>21</v>
      </c>
      <c r="O94" s="2" t="s">
        <v>45</v>
      </c>
      <c r="P94" s="2" t="s">
        <v>46</v>
      </c>
      <c r="Q94" s="2" t="s">
        <v>41</v>
      </c>
    </row>
    <row r="95" spans="1:17" x14ac:dyDescent="0.25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tr">
        <f>TEXT(Tabla1[[#This Row],[FECHA CURSO]],"mmmm")</f>
        <v>febrero</v>
      </c>
      <c r="J95" s="6">
        <f>YEAR(Tabla1[[#This Row],[FECHA CURSO]])</f>
        <v>2021</v>
      </c>
      <c r="K95" s="5" t="s">
        <v>57</v>
      </c>
      <c r="L95" s="3" t="s">
        <v>29</v>
      </c>
      <c r="M95" s="4">
        <v>18.75</v>
      </c>
      <c r="N95" s="3" t="s">
        <v>21</v>
      </c>
      <c r="O95" s="2" t="s">
        <v>22</v>
      </c>
      <c r="P95" s="2" t="s">
        <v>73</v>
      </c>
      <c r="Q95" s="2" t="s">
        <v>21</v>
      </c>
    </row>
    <row r="96" spans="1:17" x14ac:dyDescent="0.25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tr">
        <f>TEXT(Tabla1[[#This Row],[FECHA CURSO]],"mmmm")</f>
        <v>enero</v>
      </c>
      <c r="J96" s="6">
        <f>YEAR(Tabla1[[#This Row],[FECHA CURSO]])</f>
        <v>2020</v>
      </c>
      <c r="K96" s="5" t="s">
        <v>57</v>
      </c>
      <c r="L96" s="3" t="s">
        <v>36</v>
      </c>
      <c r="M96" s="4">
        <v>25</v>
      </c>
      <c r="N96" s="3" t="s">
        <v>21</v>
      </c>
      <c r="O96" s="2" t="s">
        <v>22</v>
      </c>
      <c r="P96" s="2" t="s">
        <v>73</v>
      </c>
      <c r="Q96" s="2" t="s">
        <v>21</v>
      </c>
    </row>
    <row r="97" spans="1:17" x14ac:dyDescent="0.25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tr">
        <f>TEXT(Tabla1[[#This Row],[FECHA CURSO]],"mmmm")</f>
        <v>julio</v>
      </c>
      <c r="J97" s="6">
        <f>YEAR(Tabla1[[#This Row],[FECHA CURSO]])</f>
        <v>2020</v>
      </c>
      <c r="K97" s="5" t="s">
        <v>57</v>
      </c>
      <c r="L97" s="3" t="s">
        <v>20</v>
      </c>
      <c r="M97" s="4">
        <v>25</v>
      </c>
      <c r="N97" s="3" t="s">
        <v>41</v>
      </c>
      <c r="O97" s="2" t="s">
        <v>45</v>
      </c>
      <c r="P97" s="2" t="s">
        <v>46</v>
      </c>
      <c r="Q97" s="2" t="s">
        <v>41</v>
      </c>
    </row>
    <row r="98" spans="1:17" x14ac:dyDescent="0.25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tr">
        <f>TEXT(Tabla1[[#This Row],[FECHA CURSO]],"mmmm")</f>
        <v>julio</v>
      </c>
      <c r="J98" s="6">
        <f>YEAR(Tabla1[[#This Row],[FECHA CURSO]])</f>
        <v>2020</v>
      </c>
      <c r="K98" s="5" t="s">
        <v>57</v>
      </c>
      <c r="L98" s="3" t="s">
        <v>29</v>
      </c>
      <c r="M98" s="4">
        <v>37.5</v>
      </c>
      <c r="N98" s="3" t="s">
        <v>41</v>
      </c>
      <c r="O98" s="2" t="s">
        <v>45</v>
      </c>
      <c r="P98" s="2" t="s">
        <v>46</v>
      </c>
      <c r="Q98" s="2" t="s">
        <v>21</v>
      </c>
    </row>
    <row r="99" spans="1:17" x14ac:dyDescent="0.25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tr">
        <f>TEXT(Tabla1[[#This Row],[FECHA CURSO]],"mmmm")</f>
        <v>junio</v>
      </c>
      <c r="J99" s="6">
        <f>YEAR(Tabla1[[#This Row],[FECHA CURSO]])</f>
        <v>2020</v>
      </c>
      <c r="K99" s="5" t="s">
        <v>28</v>
      </c>
      <c r="L99" s="3" t="s">
        <v>36</v>
      </c>
      <c r="M99" s="4">
        <v>393.75</v>
      </c>
      <c r="N99" s="3" t="s">
        <v>21</v>
      </c>
      <c r="O99" s="2" t="s">
        <v>22</v>
      </c>
      <c r="P99" s="2" t="s">
        <v>73</v>
      </c>
      <c r="Q99" s="2" t="s">
        <v>21</v>
      </c>
    </row>
    <row r="100" spans="1:17" x14ac:dyDescent="0.25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tr">
        <f>TEXT(Tabla1[[#This Row],[FECHA CURSO]],"mmmm")</f>
        <v>julio</v>
      </c>
      <c r="J100" s="6">
        <f>YEAR(Tabla1[[#This Row],[FECHA CURSO]])</f>
        <v>2021</v>
      </c>
      <c r="K100" s="5" t="s">
        <v>19</v>
      </c>
      <c r="L100" s="3" t="s">
        <v>40</v>
      </c>
      <c r="M100" s="4">
        <v>288</v>
      </c>
      <c r="N100" s="3" t="s">
        <v>41</v>
      </c>
      <c r="O100" s="2" t="s">
        <v>30</v>
      </c>
      <c r="P100" s="2" t="s">
        <v>104</v>
      </c>
      <c r="Q100" s="2" t="s">
        <v>41</v>
      </c>
    </row>
    <row r="101" spans="1:17" x14ac:dyDescent="0.25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tr">
        <f>TEXT(Tabla1[[#This Row],[FECHA CURSO]],"mmmm")</f>
        <v>agosto</v>
      </c>
      <c r="J101" s="6">
        <f>YEAR(Tabla1[[#This Row],[FECHA CURSO]])</f>
        <v>2020</v>
      </c>
      <c r="K101" s="5" t="s">
        <v>28</v>
      </c>
      <c r="L101" s="3" t="s">
        <v>20</v>
      </c>
      <c r="M101" s="4">
        <v>288</v>
      </c>
      <c r="N101" s="3" t="s">
        <v>21</v>
      </c>
      <c r="O101" s="2" t="s">
        <v>45</v>
      </c>
      <c r="P101" s="2" t="s">
        <v>46</v>
      </c>
      <c r="Q101" s="2" t="s">
        <v>21</v>
      </c>
    </row>
    <row r="102" spans="1:17" x14ac:dyDescent="0.25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tr">
        <f>TEXT(Tabla1[[#This Row],[FECHA CURSO]],"mmmm")</f>
        <v>enero</v>
      </c>
      <c r="J102" s="6">
        <f>YEAR(Tabla1[[#This Row],[FECHA CURSO]])</f>
        <v>2021</v>
      </c>
      <c r="K102" s="5" t="s">
        <v>19</v>
      </c>
      <c r="L102" s="3" t="s">
        <v>29</v>
      </c>
      <c r="M102" s="4">
        <v>252</v>
      </c>
      <c r="N102" s="3" t="s">
        <v>21</v>
      </c>
      <c r="O102" s="2" t="s">
        <v>45</v>
      </c>
      <c r="P102" s="2" t="s">
        <v>46</v>
      </c>
      <c r="Q102" s="2" t="s">
        <v>21</v>
      </c>
    </row>
    <row r="103" spans="1:17" x14ac:dyDescent="0.25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tr">
        <f>TEXT(Tabla1[[#This Row],[FECHA CURSO]],"mmmm")</f>
        <v>noviembre</v>
      </c>
      <c r="J103" s="6">
        <f>YEAR(Tabla1[[#This Row],[FECHA CURSO]])</f>
        <v>2019</v>
      </c>
      <c r="K103" s="5" t="s">
        <v>19</v>
      </c>
      <c r="L103" s="3" t="s">
        <v>36</v>
      </c>
      <c r="M103" s="4">
        <v>60</v>
      </c>
      <c r="N103" s="3" t="s">
        <v>21</v>
      </c>
      <c r="O103" s="2" t="s">
        <v>22</v>
      </c>
      <c r="P103" s="2" t="s">
        <v>73</v>
      </c>
      <c r="Q103" s="2" t="s">
        <v>21</v>
      </c>
    </row>
    <row r="104" spans="1:17" x14ac:dyDescent="0.25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tr">
        <f>TEXT(Tabla1[[#This Row],[FECHA CURSO]],"mmmm")</f>
        <v>diciembre</v>
      </c>
      <c r="J104" s="6">
        <f>YEAR(Tabla1[[#This Row],[FECHA CURSO]])</f>
        <v>2021</v>
      </c>
      <c r="K104" s="5" t="s">
        <v>19</v>
      </c>
      <c r="L104" s="3" t="s">
        <v>40</v>
      </c>
      <c r="M104" s="4">
        <v>80</v>
      </c>
      <c r="N104" s="3" t="s">
        <v>21</v>
      </c>
      <c r="O104" s="2" t="s">
        <v>22</v>
      </c>
      <c r="P104" s="2" t="s">
        <v>101</v>
      </c>
      <c r="Q104" s="2" t="s">
        <v>21</v>
      </c>
    </row>
    <row r="105" spans="1:17" x14ac:dyDescent="0.25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tr">
        <f>TEXT(Tabla1[[#This Row],[FECHA CURSO]],"mmmm")</f>
        <v>abril</v>
      </c>
      <c r="J105" s="6">
        <f>YEAR(Tabla1[[#This Row],[FECHA CURSO]])</f>
        <v>2020</v>
      </c>
      <c r="K105" s="5" t="s">
        <v>19</v>
      </c>
      <c r="L105" s="3" t="s">
        <v>29</v>
      </c>
      <c r="M105" s="4">
        <v>72</v>
      </c>
      <c r="N105" s="3" t="s">
        <v>21</v>
      </c>
      <c r="O105" s="2" t="s">
        <v>22</v>
      </c>
      <c r="P105" s="2" t="s">
        <v>101</v>
      </c>
      <c r="Q105" s="2" t="s">
        <v>21</v>
      </c>
    </row>
    <row r="106" spans="1:17" x14ac:dyDescent="0.25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tr">
        <f>TEXT(Tabla1[[#This Row],[FECHA CURSO]],"mmmm")</f>
        <v>octubre</v>
      </c>
      <c r="J106" s="6">
        <f>YEAR(Tabla1[[#This Row],[FECHA CURSO]])</f>
        <v>2019</v>
      </c>
      <c r="K106" s="5" t="s">
        <v>28</v>
      </c>
      <c r="L106" s="3" t="s">
        <v>36</v>
      </c>
      <c r="M106" s="4">
        <v>100</v>
      </c>
      <c r="N106" s="3" t="s">
        <v>41</v>
      </c>
      <c r="O106" s="2" t="s">
        <v>45</v>
      </c>
      <c r="P106" s="2" t="s">
        <v>82</v>
      </c>
      <c r="Q106" s="2" t="s">
        <v>21</v>
      </c>
    </row>
    <row r="107" spans="1:17" x14ac:dyDescent="0.25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tr">
        <f>TEXT(Tabla1[[#This Row],[FECHA CURSO]],"mmmm")</f>
        <v>julio</v>
      </c>
      <c r="J107" s="6">
        <f>YEAR(Tabla1[[#This Row],[FECHA CURSO]])</f>
        <v>2021</v>
      </c>
      <c r="K107" s="5" t="s">
        <v>28</v>
      </c>
      <c r="L107" s="3" t="s">
        <v>40</v>
      </c>
      <c r="M107" s="4">
        <v>48</v>
      </c>
      <c r="N107" s="3" t="s">
        <v>41</v>
      </c>
      <c r="O107" s="2" t="s">
        <v>45</v>
      </c>
      <c r="P107" s="2" t="s">
        <v>82</v>
      </c>
      <c r="Q107" s="2" t="s">
        <v>21</v>
      </c>
    </row>
    <row r="108" spans="1:17" x14ac:dyDescent="0.25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tr">
        <f>TEXT(Tabla1[[#This Row],[FECHA CURSO]],"mmmm")</f>
        <v>enero</v>
      </c>
      <c r="J108" s="6">
        <f>YEAR(Tabla1[[#This Row],[FECHA CURSO]])</f>
        <v>2021</v>
      </c>
      <c r="K108" s="5" t="s">
        <v>28</v>
      </c>
      <c r="L108" s="3" t="s">
        <v>20</v>
      </c>
      <c r="M108" s="4">
        <v>24</v>
      </c>
      <c r="N108" s="3" t="s">
        <v>21</v>
      </c>
      <c r="O108" s="2" t="s">
        <v>22</v>
      </c>
      <c r="P108" s="2" t="s">
        <v>101</v>
      </c>
      <c r="Q108" s="2" t="s">
        <v>21</v>
      </c>
    </row>
    <row r="109" spans="1:17" x14ac:dyDescent="0.25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tr">
        <f>TEXT(Tabla1[[#This Row],[FECHA CURSO]],"mmmm")</f>
        <v>abril</v>
      </c>
      <c r="J109" s="6">
        <f>YEAR(Tabla1[[#This Row],[FECHA CURSO]])</f>
        <v>2021</v>
      </c>
      <c r="K109" s="5" t="s">
        <v>28</v>
      </c>
      <c r="L109" s="3" t="s">
        <v>29</v>
      </c>
      <c r="M109" s="4">
        <v>28.8</v>
      </c>
      <c r="N109" s="3" t="s">
        <v>21</v>
      </c>
      <c r="O109" s="2" t="s">
        <v>22</v>
      </c>
      <c r="P109" s="2" t="s">
        <v>101</v>
      </c>
      <c r="Q109" s="2" t="s">
        <v>21</v>
      </c>
    </row>
    <row r="110" spans="1:17" x14ac:dyDescent="0.25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tr">
        <f>TEXT(Tabla1[[#This Row],[FECHA CURSO]],"mmmm")</f>
        <v>mayo</v>
      </c>
      <c r="J110" s="6">
        <f>YEAR(Tabla1[[#This Row],[FECHA CURSO]])</f>
        <v>2020</v>
      </c>
      <c r="K110" s="5" t="s">
        <v>57</v>
      </c>
      <c r="L110" s="3" t="s">
        <v>36</v>
      </c>
      <c r="M110" s="4">
        <v>26.25</v>
      </c>
      <c r="N110" s="3" t="s">
        <v>21</v>
      </c>
      <c r="O110" s="2" t="s">
        <v>22</v>
      </c>
      <c r="P110" s="2" t="s">
        <v>101</v>
      </c>
      <c r="Q110" s="2" t="s">
        <v>21</v>
      </c>
    </row>
    <row r="111" spans="1:17" x14ac:dyDescent="0.25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tr">
        <f>TEXT(Tabla1[[#This Row],[FECHA CURSO]],"mmmm")</f>
        <v>noviembre</v>
      </c>
      <c r="J111" s="6">
        <f>YEAR(Tabla1[[#This Row],[FECHA CURSO]])</f>
        <v>2021</v>
      </c>
      <c r="K111" s="5" t="s">
        <v>57</v>
      </c>
      <c r="L111" s="3" t="s">
        <v>20</v>
      </c>
      <c r="M111" s="4">
        <v>35</v>
      </c>
      <c r="N111" s="3" t="s">
        <v>41</v>
      </c>
      <c r="O111" s="2" t="s">
        <v>45</v>
      </c>
      <c r="P111" s="2" t="s">
        <v>82</v>
      </c>
      <c r="Q111" s="2" t="s">
        <v>41</v>
      </c>
    </row>
    <row r="112" spans="1:17" x14ac:dyDescent="0.25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tr">
        <f>TEXT(Tabla1[[#This Row],[FECHA CURSO]],"mmmm")</f>
        <v>abril</v>
      </c>
      <c r="J112" s="6">
        <f>YEAR(Tabla1[[#This Row],[FECHA CURSO]])</f>
        <v>2019</v>
      </c>
      <c r="K112" s="5" t="s">
        <v>57</v>
      </c>
      <c r="L112" s="3" t="s">
        <v>29</v>
      </c>
      <c r="M112" s="4">
        <v>43.75</v>
      </c>
      <c r="N112" s="3" t="s">
        <v>21</v>
      </c>
      <c r="O112" s="2" t="s">
        <v>30</v>
      </c>
      <c r="P112" s="2" t="s">
        <v>104</v>
      </c>
      <c r="Q112" s="2" t="s">
        <v>21</v>
      </c>
    </row>
    <row r="113" spans="1:17" x14ac:dyDescent="0.25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tr">
        <f>TEXT(Tabla1[[#This Row],[FECHA CURSO]],"mmmm")</f>
        <v>noviembre</v>
      </c>
      <c r="J113" s="6">
        <f>YEAR(Tabla1[[#This Row],[FECHA CURSO]])</f>
        <v>2020</v>
      </c>
      <c r="K113" s="5" t="s">
        <v>28</v>
      </c>
      <c r="L113" s="3" t="s">
        <v>36</v>
      </c>
      <c r="M113" s="4">
        <v>52.5</v>
      </c>
      <c r="N113" s="3" t="s">
        <v>21</v>
      </c>
      <c r="O113" s="2" t="s">
        <v>45</v>
      </c>
      <c r="P113" s="2" t="s">
        <v>82</v>
      </c>
      <c r="Q113" s="2" t="s">
        <v>21</v>
      </c>
    </row>
    <row r="114" spans="1:17" x14ac:dyDescent="0.25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tr">
        <f>TEXT(Tabla1[[#This Row],[FECHA CURSO]],"mmmm")</f>
        <v>septiembre</v>
      </c>
      <c r="J114" s="6">
        <f>YEAR(Tabla1[[#This Row],[FECHA CURSO]])</f>
        <v>2021</v>
      </c>
      <c r="K114" s="5" t="s">
        <v>28</v>
      </c>
      <c r="L114" s="3" t="s">
        <v>40</v>
      </c>
      <c r="M114" s="4">
        <v>96</v>
      </c>
      <c r="N114" s="3" t="s">
        <v>41</v>
      </c>
      <c r="O114" s="2" t="s">
        <v>22</v>
      </c>
      <c r="P114" s="2" t="s">
        <v>73</v>
      </c>
      <c r="Q114" s="2" t="s">
        <v>41</v>
      </c>
    </row>
    <row r="115" spans="1:17" x14ac:dyDescent="0.25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tr">
        <f>TEXT(Tabla1[[#This Row],[FECHA CURSO]],"mmmm")</f>
        <v>mayo</v>
      </c>
      <c r="J115" s="6">
        <f>YEAR(Tabla1[[#This Row],[FECHA CURSO]])</f>
        <v>2020</v>
      </c>
      <c r="K115" s="5" t="s">
        <v>28</v>
      </c>
      <c r="L115" s="3" t="s">
        <v>29</v>
      </c>
      <c r="M115" s="4">
        <v>140</v>
      </c>
      <c r="N115" s="3" t="s">
        <v>41</v>
      </c>
      <c r="O115" s="2" t="s">
        <v>30</v>
      </c>
      <c r="P115" s="2" t="s">
        <v>104</v>
      </c>
      <c r="Q115" s="2" t="s">
        <v>21</v>
      </c>
    </row>
    <row r="116" spans="1:17" x14ac:dyDescent="0.25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tr">
        <f>TEXT(Tabla1[[#This Row],[FECHA CURSO]],"mmmm")</f>
        <v>octubre</v>
      </c>
      <c r="J116" s="6">
        <f>YEAR(Tabla1[[#This Row],[FECHA CURSO]])</f>
        <v>2019</v>
      </c>
      <c r="K116" s="5" t="s">
        <v>28</v>
      </c>
      <c r="L116" s="3" t="s">
        <v>36</v>
      </c>
      <c r="M116" s="4">
        <v>78.75</v>
      </c>
      <c r="N116" s="3" t="s">
        <v>41</v>
      </c>
      <c r="O116" s="2" t="s">
        <v>45</v>
      </c>
      <c r="P116" s="2" t="s">
        <v>82</v>
      </c>
      <c r="Q116" s="2" t="s">
        <v>21</v>
      </c>
    </row>
    <row r="117" spans="1:17" x14ac:dyDescent="0.25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tr">
        <f>TEXT(Tabla1[[#This Row],[FECHA CURSO]],"mmmm")</f>
        <v>enero</v>
      </c>
      <c r="J117" s="6">
        <f>YEAR(Tabla1[[#This Row],[FECHA CURSO]])</f>
        <v>2020</v>
      </c>
      <c r="K117" s="5" t="s">
        <v>57</v>
      </c>
      <c r="L117" s="3" t="s">
        <v>40</v>
      </c>
      <c r="M117" s="4">
        <v>31.5</v>
      </c>
      <c r="N117" s="3" t="s">
        <v>41</v>
      </c>
      <c r="O117" s="2" t="s">
        <v>30</v>
      </c>
      <c r="P117" s="2" t="s">
        <v>104</v>
      </c>
      <c r="Q117" s="2" t="s">
        <v>41</v>
      </c>
    </row>
    <row r="118" spans="1:17" x14ac:dyDescent="0.25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tr">
        <f>TEXT(Tabla1[[#This Row],[FECHA CURSO]],"mmmm")</f>
        <v>junio</v>
      </c>
      <c r="J118" s="6">
        <f>YEAR(Tabla1[[#This Row],[FECHA CURSO]])</f>
        <v>2021</v>
      </c>
      <c r="K118" s="5" t="s">
        <v>57</v>
      </c>
      <c r="L118" s="3" t="s">
        <v>20</v>
      </c>
      <c r="M118" s="4">
        <v>17.5</v>
      </c>
      <c r="N118" s="3" t="s">
        <v>41</v>
      </c>
      <c r="O118" s="2" t="s">
        <v>22</v>
      </c>
      <c r="P118" s="2" t="s">
        <v>23</v>
      </c>
      <c r="Q118" s="2" t="s">
        <v>41</v>
      </c>
    </row>
    <row r="119" spans="1:17" x14ac:dyDescent="0.25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tr">
        <f>TEXT(Tabla1[[#This Row],[FECHA CURSO]],"mmmm")</f>
        <v>noviembre</v>
      </c>
      <c r="J119" s="6">
        <f>YEAR(Tabla1[[#This Row],[FECHA CURSO]])</f>
        <v>2019</v>
      </c>
      <c r="K119" s="5" t="s">
        <v>57</v>
      </c>
      <c r="L119" s="3" t="s">
        <v>29</v>
      </c>
      <c r="M119" s="4">
        <v>28.8</v>
      </c>
      <c r="N119" s="3" t="s">
        <v>21</v>
      </c>
      <c r="O119" s="2" t="s">
        <v>30</v>
      </c>
      <c r="P119" s="2" t="s">
        <v>104</v>
      </c>
      <c r="Q119" s="2" t="s">
        <v>21</v>
      </c>
    </row>
    <row r="120" spans="1:17" x14ac:dyDescent="0.25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tr">
        <f>TEXT(Tabla1[[#This Row],[FECHA CURSO]],"mmmm")</f>
        <v>noviembre</v>
      </c>
      <c r="J120" s="6">
        <f>YEAR(Tabla1[[#This Row],[FECHA CURSO]])</f>
        <v>2019</v>
      </c>
      <c r="K120" s="5" t="s">
        <v>57</v>
      </c>
      <c r="L120" s="3" t="s">
        <v>36</v>
      </c>
      <c r="M120" s="4">
        <v>36</v>
      </c>
      <c r="N120" s="3" t="s">
        <v>41</v>
      </c>
      <c r="O120" s="2" t="s">
        <v>45</v>
      </c>
      <c r="P120" s="2" t="s">
        <v>82</v>
      </c>
      <c r="Q120" s="2" t="s">
        <v>21</v>
      </c>
    </row>
    <row r="121" spans="1:17" x14ac:dyDescent="0.25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tr">
        <f>TEXT(Tabla1[[#This Row],[FECHA CURSO]],"mmmm")</f>
        <v>noviembre</v>
      </c>
      <c r="J121" s="6">
        <f>YEAR(Tabla1[[#This Row],[FECHA CURSO]])</f>
        <v>2019</v>
      </c>
      <c r="K121" s="5" t="s">
        <v>57</v>
      </c>
      <c r="L121" s="3" t="s">
        <v>20</v>
      </c>
      <c r="M121" s="4">
        <v>60</v>
      </c>
      <c r="N121" s="3" t="s">
        <v>21</v>
      </c>
      <c r="O121" s="2" t="s">
        <v>22</v>
      </c>
      <c r="P121" s="2" t="s">
        <v>73</v>
      </c>
      <c r="Q121" s="2" t="s">
        <v>41</v>
      </c>
    </row>
    <row r="122" spans="1:17" x14ac:dyDescent="0.25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tr">
        <f>TEXT(Tabla1[[#This Row],[FECHA CURSO]],"mmmm")</f>
        <v>diciembre</v>
      </c>
      <c r="J122" s="6">
        <f>YEAR(Tabla1[[#This Row],[FECHA CURSO]])</f>
        <v>2021</v>
      </c>
      <c r="K122" s="5" t="s">
        <v>28</v>
      </c>
      <c r="L122" s="3" t="s">
        <v>29</v>
      </c>
      <c r="M122" s="4">
        <v>18.75</v>
      </c>
      <c r="N122" s="3" t="s">
        <v>21</v>
      </c>
      <c r="O122" s="2" t="s">
        <v>22</v>
      </c>
      <c r="P122" s="2" t="s">
        <v>73</v>
      </c>
      <c r="Q122" s="2" t="s">
        <v>21</v>
      </c>
    </row>
    <row r="123" spans="1:17" x14ac:dyDescent="0.25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tr">
        <f>TEXT(Tabla1[[#This Row],[FECHA CURSO]],"mmmm")</f>
        <v>mayo</v>
      </c>
      <c r="J123" s="6">
        <f>YEAR(Tabla1[[#This Row],[FECHA CURSO]])</f>
        <v>2019</v>
      </c>
      <c r="K123" s="5" t="s">
        <v>57</v>
      </c>
      <c r="L123" s="3" t="s">
        <v>36</v>
      </c>
      <c r="M123" s="4">
        <v>25</v>
      </c>
      <c r="N123" s="3" t="s">
        <v>21</v>
      </c>
      <c r="O123" s="2" t="s">
        <v>45</v>
      </c>
      <c r="P123" s="2" t="s">
        <v>82</v>
      </c>
      <c r="Q123" s="2" t="s">
        <v>21</v>
      </c>
    </row>
    <row r="124" spans="1:17" x14ac:dyDescent="0.25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tr">
        <f>TEXT(Tabla1[[#This Row],[FECHA CURSO]],"mmmm")</f>
        <v>octubre</v>
      </c>
      <c r="J124" s="6">
        <f>YEAR(Tabla1[[#This Row],[FECHA CURSO]])</f>
        <v>2020</v>
      </c>
      <c r="K124" s="5" t="s">
        <v>57</v>
      </c>
      <c r="L124" s="3" t="s">
        <v>40</v>
      </c>
      <c r="M124" s="4">
        <v>25</v>
      </c>
      <c r="N124" s="3" t="s">
        <v>21</v>
      </c>
      <c r="O124" s="2" t="s">
        <v>45</v>
      </c>
      <c r="P124" s="2" t="s">
        <v>82</v>
      </c>
      <c r="Q124" s="2" t="s">
        <v>41</v>
      </c>
    </row>
    <row r="125" spans="1:17" x14ac:dyDescent="0.25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tr">
        <f>TEXT(Tabla1[[#This Row],[FECHA CURSO]],"mmmm")</f>
        <v>enero</v>
      </c>
      <c r="J125" s="6">
        <f>YEAR(Tabla1[[#This Row],[FECHA CURSO]])</f>
        <v>2019</v>
      </c>
      <c r="K125" s="5" t="s">
        <v>57</v>
      </c>
      <c r="L125" s="3" t="s">
        <v>20</v>
      </c>
      <c r="M125" s="4">
        <v>37.5</v>
      </c>
      <c r="N125" s="3" t="s">
        <v>21</v>
      </c>
      <c r="O125" s="2" t="s">
        <v>22</v>
      </c>
      <c r="P125" s="2" t="s">
        <v>23</v>
      </c>
      <c r="Q125" s="2" t="s">
        <v>41</v>
      </c>
    </row>
    <row r="126" spans="1:17" x14ac:dyDescent="0.25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tr">
        <f>TEXT(Tabla1[[#This Row],[FECHA CURSO]],"mmmm")</f>
        <v>enero</v>
      </c>
      <c r="J126" s="6">
        <f>YEAR(Tabla1[[#This Row],[FECHA CURSO]])</f>
        <v>2019</v>
      </c>
      <c r="K126" s="5" t="s">
        <v>28</v>
      </c>
      <c r="L126" s="3" t="s">
        <v>29</v>
      </c>
      <c r="M126" s="4">
        <v>43.75</v>
      </c>
      <c r="N126" s="3" t="s">
        <v>21</v>
      </c>
      <c r="O126" s="2" t="s">
        <v>30</v>
      </c>
      <c r="P126" s="2" t="s">
        <v>104</v>
      </c>
      <c r="Q126" s="2" t="s">
        <v>21</v>
      </c>
    </row>
    <row r="127" spans="1:17" x14ac:dyDescent="0.25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tr">
        <f>TEXT(Tabla1[[#This Row],[FECHA CURSO]],"mmmm")</f>
        <v>septiembre</v>
      </c>
      <c r="J127" s="6">
        <f>YEAR(Tabla1[[#This Row],[FECHA CURSO]])</f>
        <v>2021</v>
      </c>
      <c r="K127" s="5" t="s">
        <v>28</v>
      </c>
      <c r="L127" s="3" t="s">
        <v>36</v>
      </c>
      <c r="M127" s="4">
        <v>450</v>
      </c>
      <c r="N127" s="3" t="s">
        <v>21</v>
      </c>
      <c r="O127" s="2" t="s">
        <v>45</v>
      </c>
      <c r="P127" s="2" t="s">
        <v>82</v>
      </c>
      <c r="Q127" s="2" t="s">
        <v>21</v>
      </c>
    </row>
    <row r="128" spans="1:17" x14ac:dyDescent="0.25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tr">
        <f>TEXT(Tabla1[[#This Row],[FECHA CURSO]],"mmmm")</f>
        <v>junio</v>
      </c>
      <c r="J128" s="6">
        <f>YEAR(Tabla1[[#This Row],[FECHA CURSO]])</f>
        <v>2021</v>
      </c>
      <c r="K128" s="5" t="s">
        <v>28</v>
      </c>
      <c r="L128" s="3" t="s">
        <v>40</v>
      </c>
      <c r="M128" s="4">
        <v>288</v>
      </c>
      <c r="N128" s="3" t="s">
        <v>21</v>
      </c>
      <c r="O128" s="2" t="s">
        <v>45</v>
      </c>
      <c r="P128" s="2" t="s">
        <v>82</v>
      </c>
      <c r="Q128" s="2" t="s">
        <v>41</v>
      </c>
    </row>
    <row r="129" spans="1:17" x14ac:dyDescent="0.25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tr">
        <f>TEXT(Tabla1[[#This Row],[FECHA CURSO]],"mmmm")</f>
        <v>mayo</v>
      </c>
      <c r="J129" s="6">
        <f>YEAR(Tabla1[[#This Row],[FECHA CURSO]])</f>
        <v>2021</v>
      </c>
      <c r="K129" s="5" t="s">
        <v>28</v>
      </c>
      <c r="L129" s="3" t="s">
        <v>29</v>
      </c>
      <c r="M129" s="4">
        <v>252</v>
      </c>
      <c r="N129" s="3" t="s">
        <v>21</v>
      </c>
      <c r="O129" s="2" t="s">
        <v>22</v>
      </c>
      <c r="P129" s="2" t="s">
        <v>101</v>
      </c>
      <c r="Q129" s="2" t="s">
        <v>21</v>
      </c>
    </row>
    <row r="130" spans="1:17" x14ac:dyDescent="0.25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tr">
        <f>TEXT(Tabla1[[#This Row],[FECHA CURSO]],"mmmm")</f>
        <v>marzo</v>
      </c>
      <c r="J130" s="6">
        <f>YEAR(Tabla1[[#This Row],[FECHA CURSO]])</f>
        <v>2020</v>
      </c>
      <c r="K130" s="5" t="s">
        <v>57</v>
      </c>
      <c r="L130" s="3" t="s">
        <v>36</v>
      </c>
      <c r="M130" s="4">
        <v>324</v>
      </c>
      <c r="N130" s="3" t="s">
        <v>21</v>
      </c>
      <c r="O130" s="2" t="s">
        <v>22</v>
      </c>
      <c r="P130" s="2" t="s">
        <v>23</v>
      </c>
      <c r="Q130" s="2" t="s">
        <v>21</v>
      </c>
    </row>
    <row r="131" spans="1:17" x14ac:dyDescent="0.25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tr">
        <f>TEXT(Tabla1[[#This Row],[FECHA CURSO]],"mmmm")</f>
        <v>enero</v>
      </c>
      <c r="J131" s="6">
        <f>YEAR(Tabla1[[#This Row],[FECHA CURSO]])</f>
        <v>2019</v>
      </c>
      <c r="K131" s="5" t="s">
        <v>57</v>
      </c>
      <c r="L131" s="3" t="s">
        <v>40</v>
      </c>
      <c r="M131" s="4">
        <v>100</v>
      </c>
      <c r="N131" s="3" t="s">
        <v>21</v>
      </c>
      <c r="O131" s="2" t="s">
        <v>22</v>
      </c>
      <c r="P131" s="2" t="s">
        <v>23</v>
      </c>
      <c r="Q131" s="2" t="s">
        <v>41</v>
      </c>
    </row>
    <row r="132" spans="1:17" x14ac:dyDescent="0.25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tr">
        <f>TEXT(Tabla1[[#This Row],[FECHA CURSO]],"mmmm")</f>
        <v>septiembre</v>
      </c>
      <c r="J132" s="6">
        <f>YEAR(Tabla1[[#This Row],[FECHA CURSO]])</f>
        <v>2019</v>
      </c>
      <c r="K132" s="5" t="s">
        <v>57</v>
      </c>
      <c r="L132" s="3" t="s">
        <v>20</v>
      </c>
      <c r="M132" s="4">
        <v>35</v>
      </c>
      <c r="N132" s="3" t="s">
        <v>21</v>
      </c>
      <c r="O132" s="2" t="s">
        <v>45</v>
      </c>
      <c r="P132" s="2" t="s">
        <v>82</v>
      </c>
      <c r="Q132" s="2" t="s">
        <v>41</v>
      </c>
    </row>
    <row r="133" spans="1:17" x14ac:dyDescent="0.25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tr">
        <f>TEXT(Tabla1[[#This Row],[FECHA CURSO]],"mmmm")</f>
        <v>junio</v>
      </c>
      <c r="J133" s="6">
        <f>YEAR(Tabla1[[#This Row],[FECHA CURSO]])</f>
        <v>2020</v>
      </c>
      <c r="K133" s="5" t="s">
        <v>57</v>
      </c>
      <c r="L133" s="3" t="s">
        <v>20</v>
      </c>
      <c r="M133" s="4">
        <v>17.5</v>
      </c>
      <c r="N133" s="3" t="s">
        <v>21</v>
      </c>
      <c r="O133" s="2" t="s">
        <v>45</v>
      </c>
      <c r="P133" s="2" t="s">
        <v>82</v>
      </c>
      <c r="Q133" s="2" t="s">
        <v>41</v>
      </c>
    </row>
    <row r="134" spans="1:17" x14ac:dyDescent="0.25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tr">
        <f>TEXT(Tabla1[[#This Row],[FECHA CURSO]],"mmmm")</f>
        <v>noviembre</v>
      </c>
      <c r="J134" s="6">
        <f>YEAR(Tabla1[[#This Row],[FECHA CURSO]])</f>
        <v>2019</v>
      </c>
      <c r="K134" s="5" t="s">
        <v>57</v>
      </c>
      <c r="L134" s="3" t="s">
        <v>29</v>
      </c>
      <c r="M134" s="4">
        <v>21</v>
      </c>
      <c r="N134" s="3" t="s">
        <v>21</v>
      </c>
      <c r="O134" s="2" t="s">
        <v>22</v>
      </c>
      <c r="P134" s="2" t="s">
        <v>23</v>
      </c>
      <c r="Q134" s="2" t="s">
        <v>21</v>
      </c>
    </row>
    <row r="135" spans="1:17" x14ac:dyDescent="0.25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tr">
        <f>TEXT(Tabla1[[#This Row],[FECHA CURSO]],"mmmm")</f>
        <v>mayo</v>
      </c>
      <c r="J135" s="6">
        <f>YEAR(Tabla1[[#This Row],[FECHA CURSO]])</f>
        <v>2019</v>
      </c>
      <c r="K135" s="5" t="s">
        <v>28</v>
      </c>
      <c r="L135" s="3" t="s">
        <v>36</v>
      </c>
      <c r="M135" s="4">
        <v>36</v>
      </c>
      <c r="N135" s="3" t="s">
        <v>41</v>
      </c>
      <c r="O135" s="2" t="s">
        <v>30</v>
      </c>
      <c r="P135" s="2" t="s">
        <v>104</v>
      </c>
      <c r="Q135" s="2" t="s">
        <v>21</v>
      </c>
    </row>
    <row r="136" spans="1:17" x14ac:dyDescent="0.25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tr">
        <f>TEXT(Tabla1[[#This Row],[FECHA CURSO]],"mmmm")</f>
        <v>enero</v>
      </c>
      <c r="J136" s="6">
        <f>YEAR(Tabla1[[#This Row],[FECHA CURSO]])</f>
        <v>2019</v>
      </c>
      <c r="K136" s="5" t="s">
        <v>19</v>
      </c>
      <c r="L136" s="3" t="s">
        <v>40</v>
      </c>
      <c r="M136" s="4">
        <v>48</v>
      </c>
      <c r="N136" s="3" t="s">
        <v>41</v>
      </c>
      <c r="O136" s="2" t="s">
        <v>45</v>
      </c>
      <c r="P136" s="2" t="s">
        <v>82</v>
      </c>
      <c r="Q136" s="2" t="s">
        <v>41</v>
      </c>
    </row>
    <row r="137" spans="1:17" x14ac:dyDescent="0.25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tr">
        <f>TEXT(Tabla1[[#This Row],[FECHA CURSO]],"mmmm")</f>
        <v>septiembre</v>
      </c>
      <c r="J137" s="6">
        <f>YEAR(Tabla1[[#This Row],[FECHA CURSO]])</f>
        <v>2021</v>
      </c>
      <c r="K137" s="5" t="s">
        <v>28</v>
      </c>
      <c r="L137" s="3" t="s">
        <v>29</v>
      </c>
      <c r="M137" s="4">
        <v>60</v>
      </c>
      <c r="N137" s="3" t="s">
        <v>41</v>
      </c>
      <c r="O137" s="2" t="s">
        <v>30</v>
      </c>
      <c r="P137" s="2" t="s">
        <v>104</v>
      </c>
      <c r="Q137" s="2" t="s">
        <v>21</v>
      </c>
    </row>
    <row r="138" spans="1:17" x14ac:dyDescent="0.25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tr">
        <f>TEXT(Tabla1[[#This Row],[FECHA CURSO]],"mmmm")</f>
        <v>noviembre</v>
      </c>
      <c r="J138" s="6">
        <f>YEAR(Tabla1[[#This Row],[FECHA CURSO]])</f>
        <v>2021</v>
      </c>
      <c r="K138" s="5" t="s">
        <v>19</v>
      </c>
      <c r="L138" s="3" t="s">
        <v>36</v>
      </c>
      <c r="M138" s="4">
        <v>37.5</v>
      </c>
      <c r="N138" s="3" t="s">
        <v>41</v>
      </c>
      <c r="O138" s="2" t="s">
        <v>22</v>
      </c>
      <c r="P138" s="2" t="s">
        <v>101</v>
      </c>
      <c r="Q138" s="2" t="s">
        <v>21</v>
      </c>
    </row>
    <row r="139" spans="1:17" x14ac:dyDescent="0.25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tr">
        <f>TEXT(Tabla1[[#This Row],[FECHA CURSO]],"mmmm")</f>
        <v>junio</v>
      </c>
      <c r="J139" s="6">
        <f>YEAR(Tabla1[[#This Row],[FECHA CURSO]])</f>
        <v>2020</v>
      </c>
      <c r="K139" s="5" t="s">
        <v>19</v>
      </c>
      <c r="L139" s="3" t="s">
        <v>40</v>
      </c>
      <c r="M139" s="4">
        <v>50</v>
      </c>
      <c r="N139" s="3" t="s">
        <v>21</v>
      </c>
      <c r="O139" s="2" t="s">
        <v>30</v>
      </c>
      <c r="P139" s="2" t="s">
        <v>104</v>
      </c>
      <c r="Q139" s="2" t="s">
        <v>21</v>
      </c>
    </row>
    <row r="140" spans="1:17" x14ac:dyDescent="0.25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tr">
        <f>TEXT(Tabla1[[#This Row],[FECHA CURSO]],"mmmm")</f>
        <v>marzo</v>
      </c>
      <c r="J140" s="6">
        <f>YEAR(Tabla1[[#This Row],[FECHA CURSO]])</f>
        <v>2020</v>
      </c>
      <c r="K140" s="5" t="s">
        <v>19</v>
      </c>
      <c r="L140" s="3" t="s">
        <v>20</v>
      </c>
      <c r="M140" s="4">
        <v>43.75</v>
      </c>
      <c r="N140" s="3" t="s">
        <v>21</v>
      </c>
      <c r="O140" s="2" t="s">
        <v>45</v>
      </c>
      <c r="P140" s="2" t="s">
        <v>46</v>
      </c>
      <c r="Q140" s="2" t="s">
        <v>21</v>
      </c>
    </row>
    <row r="141" spans="1:17" x14ac:dyDescent="0.25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tr">
        <f>TEXT(Tabla1[[#This Row],[FECHA CURSO]],"mmmm")</f>
        <v>abril</v>
      </c>
      <c r="J141" s="6">
        <f>YEAR(Tabla1[[#This Row],[FECHA CURSO]])</f>
        <v>2020</v>
      </c>
      <c r="K141" s="5" t="s">
        <v>19</v>
      </c>
      <c r="L141" s="3" t="s">
        <v>29</v>
      </c>
      <c r="M141" s="4">
        <v>56.25</v>
      </c>
      <c r="N141" s="3" t="s">
        <v>21</v>
      </c>
      <c r="O141" s="2" t="s">
        <v>22</v>
      </c>
      <c r="P141" s="2" t="s">
        <v>101</v>
      </c>
      <c r="Q141" s="2" t="s">
        <v>21</v>
      </c>
    </row>
    <row r="142" spans="1:17" x14ac:dyDescent="0.25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tr">
        <f>TEXT(Tabla1[[#This Row],[FECHA CURSO]],"mmmm")</f>
        <v>septiembre</v>
      </c>
      <c r="J142" s="6">
        <f>YEAR(Tabla1[[#This Row],[FECHA CURSO]])</f>
        <v>2020</v>
      </c>
      <c r="K142" s="5" t="s">
        <v>28</v>
      </c>
      <c r="L142" s="3" t="s">
        <v>36</v>
      </c>
      <c r="M142" s="4">
        <v>22.5</v>
      </c>
      <c r="N142" s="3" t="s">
        <v>21</v>
      </c>
      <c r="O142" s="2" t="s">
        <v>22</v>
      </c>
      <c r="P142" s="2" t="s">
        <v>101</v>
      </c>
      <c r="Q142" s="2" t="s">
        <v>21</v>
      </c>
    </row>
    <row r="143" spans="1:17" x14ac:dyDescent="0.25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tr">
        <f>TEXT(Tabla1[[#This Row],[FECHA CURSO]],"mmmm")</f>
        <v>septiembre</v>
      </c>
      <c r="J143" s="6">
        <f>YEAR(Tabla1[[#This Row],[FECHA CURSO]])</f>
        <v>2021</v>
      </c>
      <c r="K143" s="5" t="s">
        <v>28</v>
      </c>
      <c r="L143" s="3" t="s">
        <v>20</v>
      </c>
      <c r="M143" s="4">
        <v>112.5</v>
      </c>
      <c r="N143" s="3" t="s">
        <v>41</v>
      </c>
      <c r="O143" s="2" t="s">
        <v>45</v>
      </c>
      <c r="P143" s="2" t="s">
        <v>46</v>
      </c>
      <c r="Q143" s="2" t="s">
        <v>21</v>
      </c>
    </row>
    <row r="144" spans="1:17" x14ac:dyDescent="0.25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tr">
        <f>TEXT(Tabla1[[#This Row],[FECHA CURSO]],"mmmm")</f>
        <v>febrero</v>
      </c>
      <c r="J144" s="6">
        <f>YEAR(Tabla1[[#This Row],[FECHA CURSO]])</f>
        <v>2020</v>
      </c>
      <c r="K144" s="5" t="s">
        <v>19</v>
      </c>
      <c r="L144" s="3" t="s">
        <v>29</v>
      </c>
      <c r="M144" s="4">
        <v>86.4</v>
      </c>
      <c r="N144" s="3" t="s">
        <v>41</v>
      </c>
      <c r="O144" s="2" t="s">
        <v>45</v>
      </c>
      <c r="P144" s="2" t="s">
        <v>46</v>
      </c>
      <c r="Q144" s="2" t="s">
        <v>21</v>
      </c>
    </row>
    <row r="145" spans="1:17" x14ac:dyDescent="0.25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tr">
        <f>TEXT(Tabla1[[#This Row],[FECHA CURSO]],"mmmm")</f>
        <v>noviembre</v>
      </c>
      <c r="J145" s="6">
        <f>YEAR(Tabla1[[#This Row],[FECHA CURSO]])</f>
        <v>2021</v>
      </c>
      <c r="K145" s="5" t="s">
        <v>28</v>
      </c>
      <c r="L145" s="3" t="s">
        <v>36</v>
      </c>
      <c r="M145" s="4">
        <v>108</v>
      </c>
      <c r="N145" s="3" t="s">
        <v>21</v>
      </c>
      <c r="O145" s="2" t="s">
        <v>22</v>
      </c>
      <c r="P145" s="2" t="s">
        <v>23</v>
      </c>
      <c r="Q145" s="2" t="s">
        <v>21</v>
      </c>
    </row>
    <row r="146" spans="1:17" x14ac:dyDescent="0.25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tr">
        <f>TEXT(Tabla1[[#This Row],[FECHA CURSO]],"mmmm")</f>
        <v>abril</v>
      </c>
      <c r="J146" s="6">
        <f>YEAR(Tabla1[[#This Row],[FECHA CURSO]])</f>
        <v>2021</v>
      </c>
      <c r="K146" s="5" t="s">
        <v>19</v>
      </c>
      <c r="L146" s="3" t="s">
        <v>40</v>
      </c>
      <c r="M146" s="4">
        <v>180</v>
      </c>
      <c r="N146" s="3" t="s">
        <v>41</v>
      </c>
      <c r="O146" s="2" t="s">
        <v>30</v>
      </c>
      <c r="P146" s="2" t="s">
        <v>104</v>
      </c>
      <c r="Q146" s="2" t="s">
        <v>21</v>
      </c>
    </row>
    <row r="147" spans="1:17" x14ac:dyDescent="0.25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tr">
        <f>TEXT(Tabla1[[#This Row],[FECHA CURSO]],"mmmm")</f>
        <v>julio</v>
      </c>
      <c r="J147" s="6">
        <f>YEAR(Tabla1[[#This Row],[FECHA CURSO]])</f>
        <v>2021</v>
      </c>
      <c r="K147" s="5" t="s">
        <v>19</v>
      </c>
      <c r="L147" s="3" t="s">
        <v>20</v>
      </c>
      <c r="M147" s="4">
        <v>60</v>
      </c>
      <c r="N147" s="3" t="s">
        <v>41</v>
      </c>
      <c r="O147" s="2" t="s">
        <v>45</v>
      </c>
      <c r="P147" s="2" t="s">
        <v>46</v>
      </c>
      <c r="Q147" s="2" t="s">
        <v>21</v>
      </c>
    </row>
    <row r="148" spans="1:17" x14ac:dyDescent="0.25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tr">
        <f>TEXT(Tabla1[[#This Row],[FECHA CURSO]],"mmmm")</f>
        <v>octubre</v>
      </c>
      <c r="J148" s="6">
        <f>YEAR(Tabla1[[#This Row],[FECHA CURSO]])</f>
        <v>2021</v>
      </c>
      <c r="K148" s="5" t="s">
        <v>19</v>
      </c>
      <c r="L148" s="3" t="s">
        <v>29</v>
      </c>
      <c r="M148" s="4">
        <v>40</v>
      </c>
      <c r="N148" s="3" t="s">
        <v>21</v>
      </c>
      <c r="O148" s="2" t="s">
        <v>45</v>
      </c>
      <c r="P148" s="2" t="s">
        <v>46</v>
      </c>
      <c r="Q148" s="2" t="s">
        <v>21</v>
      </c>
    </row>
    <row r="149" spans="1:17" x14ac:dyDescent="0.25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tr">
        <f>TEXT(Tabla1[[#This Row],[FECHA CURSO]],"mmmm")</f>
        <v>agosto</v>
      </c>
      <c r="J149" s="6">
        <f>YEAR(Tabla1[[#This Row],[FECHA CURSO]])</f>
        <v>2020</v>
      </c>
      <c r="K149" s="5" t="s">
        <v>19</v>
      </c>
      <c r="L149" s="3" t="s">
        <v>36</v>
      </c>
      <c r="M149" s="4">
        <v>48</v>
      </c>
      <c r="N149" s="3" t="s">
        <v>41</v>
      </c>
      <c r="O149" s="2" t="s">
        <v>22</v>
      </c>
      <c r="P149" s="2" t="s">
        <v>23</v>
      </c>
      <c r="Q149" s="2" t="s">
        <v>21</v>
      </c>
    </row>
    <row r="150" spans="1:17" x14ac:dyDescent="0.25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tr">
        <f>TEXT(Tabla1[[#This Row],[FECHA CURSO]],"mmmm")</f>
        <v>agosto</v>
      </c>
      <c r="J150" s="6">
        <f>YEAR(Tabla1[[#This Row],[FECHA CURSO]])</f>
        <v>2019</v>
      </c>
      <c r="K150" s="5" t="s">
        <v>28</v>
      </c>
      <c r="L150" s="3" t="s">
        <v>40</v>
      </c>
      <c r="M150" s="4">
        <v>60</v>
      </c>
      <c r="N150" s="3" t="s">
        <v>21</v>
      </c>
      <c r="O150" s="2" t="s">
        <v>22</v>
      </c>
      <c r="P150" s="2" t="s">
        <v>73</v>
      </c>
      <c r="Q150" s="2" t="s">
        <v>21</v>
      </c>
    </row>
    <row r="151" spans="1:17" x14ac:dyDescent="0.25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tr">
        <f>TEXT(Tabla1[[#This Row],[FECHA CURSO]],"mmmm")</f>
        <v>septiembre</v>
      </c>
      <c r="J151" s="6">
        <f>YEAR(Tabla1[[#This Row],[FECHA CURSO]])</f>
        <v>2021</v>
      </c>
      <c r="K151" s="5" t="s">
        <v>28</v>
      </c>
      <c r="L151" s="3" t="s">
        <v>29</v>
      </c>
      <c r="M151" s="4">
        <v>60</v>
      </c>
      <c r="N151" s="3" t="s">
        <v>21</v>
      </c>
      <c r="O151" s="2" t="s">
        <v>22</v>
      </c>
      <c r="P151" s="2" t="s">
        <v>73</v>
      </c>
      <c r="Q151" s="2" t="s">
        <v>21</v>
      </c>
    </row>
    <row r="152" spans="1:17" x14ac:dyDescent="0.25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tr">
        <f>TEXT(Tabla1[[#This Row],[FECHA CURSO]],"mmmm")</f>
        <v>enero</v>
      </c>
      <c r="J152" s="6">
        <f>YEAR(Tabla1[[#This Row],[FECHA CURSO]])</f>
        <v>2021</v>
      </c>
      <c r="K152" s="5" t="s">
        <v>28</v>
      </c>
      <c r="L152" s="3" t="s">
        <v>36</v>
      </c>
      <c r="M152" s="4">
        <v>36</v>
      </c>
      <c r="N152" s="3" t="s">
        <v>21</v>
      </c>
      <c r="O152" s="2" t="s">
        <v>45</v>
      </c>
      <c r="P152" s="2" t="s">
        <v>46</v>
      </c>
      <c r="Q152" s="2" t="s">
        <v>21</v>
      </c>
    </row>
    <row r="153" spans="1:17" x14ac:dyDescent="0.25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tr">
        <f>TEXT(Tabla1[[#This Row],[FECHA CURSO]],"mmmm")</f>
        <v>agosto</v>
      </c>
      <c r="J153" s="6">
        <f>YEAR(Tabla1[[#This Row],[FECHA CURSO]])</f>
        <v>2021</v>
      </c>
      <c r="K153" s="5" t="s">
        <v>28</v>
      </c>
      <c r="L153" s="3" t="s">
        <v>40</v>
      </c>
      <c r="M153" s="4">
        <v>48</v>
      </c>
      <c r="N153" s="3" t="s">
        <v>21</v>
      </c>
      <c r="O153" s="2" t="s">
        <v>45</v>
      </c>
      <c r="P153" s="2" t="s">
        <v>46</v>
      </c>
      <c r="Q153" s="2" t="s">
        <v>21</v>
      </c>
    </row>
    <row r="154" spans="1:17" x14ac:dyDescent="0.25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tr">
        <f>TEXT(Tabla1[[#This Row],[FECHA CURSO]],"mmmm")</f>
        <v>julio</v>
      </c>
      <c r="J154" s="6">
        <f>YEAR(Tabla1[[#This Row],[FECHA CURSO]])</f>
        <v>2019</v>
      </c>
      <c r="K154" s="5" t="s">
        <v>57</v>
      </c>
      <c r="L154" s="3" t="s">
        <v>20</v>
      </c>
      <c r="M154" s="4">
        <v>35</v>
      </c>
      <c r="N154" s="3" t="s">
        <v>21</v>
      </c>
      <c r="O154" s="2" t="s">
        <v>22</v>
      </c>
      <c r="P154" s="2" t="s">
        <v>23</v>
      </c>
      <c r="Q154" s="2" t="s">
        <v>41</v>
      </c>
    </row>
    <row r="155" spans="1:17" x14ac:dyDescent="0.25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tr">
        <f>TEXT(Tabla1[[#This Row],[FECHA CURSO]],"mmmm")</f>
        <v>junio</v>
      </c>
      <c r="J155" s="6">
        <f>YEAR(Tabla1[[#This Row],[FECHA CURSO]])</f>
        <v>2021</v>
      </c>
      <c r="K155" s="5" t="s">
        <v>57</v>
      </c>
      <c r="L155" s="3" t="s">
        <v>29</v>
      </c>
      <c r="M155" s="4">
        <v>52.5</v>
      </c>
      <c r="N155" s="3" t="s">
        <v>21</v>
      </c>
      <c r="O155" s="2" t="s">
        <v>22</v>
      </c>
      <c r="P155" s="2" t="s">
        <v>23</v>
      </c>
      <c r="Q155" s="2" t="s">
        <v>21</v>
      </c>
    </row>
    <row r="156" spans="1:17" x14ac:dyDescent="0.25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tr">
        <f>TEXT(Tabla1[[#This Row],[FECHA CURSO]],"mmmm")</f>
        <v>abril</v>
      </c>
      <c r="J156" s="6">
        <f>YEAR(Tabla1[[#This Row],[FECHA CURSO]])</f>
        <v>2020</v>
      </c>
      <c r="K156" s="5" t="s">
        <v>57</v>
      </c>
      <c r="L156" s="3" t="s">
        <v>36</v>
      </c>
      <c r="M156" s="4">
        <v>61.25</v>
      </c>
      <c r="N156" s="3" t="s">
        <v>21</v>
      </c>
      <c r="O156" s="2" t="s">
        <v>22</v>
      </c>
      <c r="P156" s="2" t="s">
        <v>73</v>
      </c>
      <c r="Q156" s="2" t="s">
        <v>21</v>
      </c>
    </row>
    <row r="157" spans="1:17" x14ac:dyDescent="0.25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tr">
        <f>TEXT(Tabla1[[#This Row],[FECHA CURSO]],"mmmm")</f>
        <v>febrero</v>
      </c>
      <c r="J157" s="6">
        <f>YEAR(Tabla1[[#This Row],[FECHA CURSO]])</f>
        <v>2021</v>
      </c>
      <c r="K157" s="5" t="s">
        <v>28</v>
      </c>
      <c r="L157" s="3" t="s">
        <v>20</v>
      </c>
      <c r="M157" s="4">
        <v>70</v>
      </c>
      <c r="N157" s="3" t="s">
        <v>21</v>
      </c>
      <c r="O157" s="2" t="s">
        <v>45</v>
      </c>
      <c r="P157" s="2" t="s">
        <v>46</v>
      </c>
      <c r="Q157" s="2" t="s">
        <v>41</v>
      </c>
    </row>
    <row r="158" spans="1:17" x14ac:dyDescent="0.25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tr">
        <f>TEXT(Tabla1[[#This Row],[FECHA CURSO]],"mmmm")</f>
        <v>enero</v>
      </c>
      <c r="J158" s="6">
        <f>YEAR(Tabla1[[#This Row],[FECHA CURSO]])</f>
        <v>2019</v>
      </c>
      <c r="K158" s="5" t="s">
        <v>28</v>
      </c>
      <c r="L158" s="3" t="s">
        <v>29</v>
      </c>
      <c r="M158" s="4">
        <v>96</v>
      </c>
      <c r="N158" s="3" t="s">
        <v>21</v>
      </c>
      <c r="O158" s="2" t="s">
        <v>30</v>
      </c>
      <c r="P158" s="2" t="s">
        <v>104</v>
      </c>
      <c r="Q158" s="2" t="s">
        <v>21</v>
      </c>
    </row>
    <row r="159" spans="1:17" x14ac:dyDescent="0.25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tr">
        <f>TEXT(Tabla1[[#This Row],[FECHA CURSO]],"mmmm")</f>
        <v>octubre</v>
      </c>
      <c r="J159" s="6">
        <f>YEAR(Tabla1[[#This Row],[FECHA CURSO]])</f>
        <v>2019</v>
      </c>
      <c r="K159" s="5" t="s">
        <v>28</v>
      </c>
      <c r="L159" s="3" t="s">
        <v>36</v>
      </c>
      <c r="M159" s="4">
        <v>140</v>
      </c>
      <c r="N159" s="3" t="s">
        <v>21</v>
      </c>
      <c r="O159" s="2" t="s">
        <v>45</v>
      </c>
      <c r="P159" s="2" t="s">
        <v>46</v>
      </c>
      <c r="Q159" s="2" t="s">
        <v>21</v>
      </c>
    </row>
    <row r="160" spans="1:17" x14ac:dyDescent="0.25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tr">
        <f>TEXT(Tabla1[[#This Row],[FECHA CURSO]],"mmmm")</f>
        <v>diciembre</v>
      </c>
      <c r="J160" s="6">
        <f>YEAR(Tabla1[[#This Row],[FECHA CURSO]])</f>
        <v>2019</v>
      </c>
      <c r="K160" s="5" t="s">
        <v>28</v>
      </c>
      <c r="L160" s="3" t="s">
        <v>40</v>
      </c>
      <c r="M160" s="4">
        <v>78.75</v>
      </c>
      <c r="N160" s="3" t="s">
        <v>21</v>
      </c>
      <c r="O160" s="2" t="s">
        <v>22</v>
      </c>
      <c r="P160" s="2" t="s">
        <v>101</v>
      </c>
      <c r="Q160" s="2" t="s">
        <v>41</v>
      </c>
    </row>
    <row r="161" spans="1:17" x14ac:dyDescent="0.25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tr">
        <f>TEXT(Tabla1[[#This Row],[FECHA CURSO]],"mmmm")</f>
        <v>noviembre</v>
      </c>
      <c r="J161" s="6">
        <f>YEAR(Tabla1[[#This Row],[FECHA CURSO]])</f>
        <v>2019</v>
      </c>
      <c r="K161" s="5" t="s">
        <v>57</v>
      </c>
      <c r="L161" s="3" t="s">
        <v>29</v>
      </c>
      <c r="M161" s="4">
        <v>43.75</v>
      </c>
      <c r="N161" s="3" t="s">
        <v>21</v>
      </c>
      <c r="O161" s="2" t="s">
        <v>30</v>
      </c>
      <c r="P161" s="2" t="s">
        <v>104</v>
      </c>
      <c r="Q161" s="2" t="s">
        <v>21</v>
      </c>
    </row>
    <row r="162" spans="1:17" x14ac:dyDescent="0.25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tr">
        <f>TEXT(Tabla1[[#This Row],[FECHA CURSO]],"mmmm")</f>
        <v>marzo</v>
      </c>
      <c r="J162" s="6">
        <f>YEAR(Tabla1[[#This Row],[FECHA CURSO]])</f>
        <v>2019</v>
      </c>
      <c r="K162" s="5" t="s">
        <v>57</v>
      </c>
      <c r="L162" s="3" t="s">
        <v>36</v>
      </c>
      <c r="M162" s="4">
        <v>35</v>
      </c>
      <c r="N162" s="3" t="s">
        <v>21</v>
      </c>
      <c r="O162" s="2" t="s">
        <v>45</v>
      </c>
      <c r="P162" s="2" t="s">
        <v>46</v>
      </c>
      <c r="Q162" s="2" t="s">
        <v>21</v>
      </c>
    </row>
    <row r="163" spans="1:17" x14ac:dyDescent="0.25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tr">
        <f>TEXT(Tabla1[[#This Row],[FECHA CURSO]],"mmmm")</f>
        <v>febrero</v>
      </c>
      <c r="J163" s="6">
        <f>YEAR(Tabla1[[#This Row],[FECHA CURSO]])</f>
        <v>2019</v>
      </c>
      <c r="K163" s="5" t="s">
        <v>57</v>
      </c>
      <c r="L163" s="3" t="s">
        <v>40</v>
      </c>
      <c r="M163" s="4">
        <v>24</v>
      </c>
      <c r="N163" s="3" t="s">
        <v>41</v>
      </c>
      <c r="O163" s="2" t="s">
        <v>30</v>
      </c>
      <c r="P163" s="2" t="s">
        <v>104</v>
      </c>
      <c r="Q163" s="2" t="s">
        <v>41</v>
      </c>
    </row>
    <row r="164" spans="1:17" x14ac:dyDescent="0.25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tr">
        <f>TEXT(Tabla1[[#This Row],[FECHA CURSO]],"mmmm")</f>
        <v>septiembre</v>
      </c>
      <c r="J164" s="6">
        <f>YEAR(Tabla1[[#This Row],[FECHA CURSO]])</f>
        <v>2019</v>
      </c>
      <c r="K164" s="5" t="s">
        <v>57</v>
      </c>
      <c r="L164" s="3" t="s">
        <v>20</v>
      </c>
      <c r="M164" s="4">
        <v>28.8</v>
      </c>
      <c r="N164" s="3" t="s">
        <v>41</v>
      </c>
      <c r="O164" s="2" t="s">
        <v>22</v>
      </c>
      <c r="P164" s="2" t="s">
        <v>101</v>
      </c>
      <c r="Q164" s="2" t="s">
        <v>41</v>
      </c>
    </row>
    <row r="165" spans="1:17" x14ac:dyDescent="0.25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tr">
        <f>TEXT(Tabla1[[#This Row],[FECHA CURSO]],"mmmm")</f>
        <v>mayo</v>
      </c>
      <c r="J165" s="6">
        <f>YEAR(Tabla1[[#This Row],[FECHA CURSO]])</f>
        <v>2020</v>
      </c>
      <c r="K165" s="5" t="s">
        <v>57</v>
      </c>
      <c r="L165" s="3" t="s">
        <v>29</v>
      </c>
      <c r="M165" s="4">
        <v>36</v>
      </c>
      <c r="N165" s="3" t="s">
        <v>41</v>
      </c>
      <c r="O165" s="2" t="s">
        <v>30</v>
      </c>
      <c r="P165" s="2" t="s">
        <v>31</v>
      </c>
      <c r="Q165" s="2" t="s">
        <v>21</v>
      </c>
    </row>
    <row r="166" spans="1:17" x14ac:dyDescent="0.25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tr">
        <f>TEXT(Tabla1[[#This Row],[FECHA CURSO]],"mmmm")</f>
        <v>septiembre</v>
      </c>
      <c r="J166" s="6">
        <f>YEAR(Tabla1[[#This Row],[FECHA CURSO]])</f>
        <v>2020</v>
      </c>
      <c r="K166" s="5" t="s">
        <v>28</v>
      </c>
      <c r="L166" s="3" t="s">
        <v>36</v>
      </c>
      <c r="M166" s="4">
        <v>25</v>
      </c>
      <c r="N166" s="3" t="s">
        <v>41</v>
      </c>
      <c r="O166" s="2" t="s">
        <v>45</v>
      </c>
      <c r="P166" s="2" t="s">
        <v>82</v>
      </c>
      <c r="Q166" s="2" t="s">
        <v>21</v>
      </c>
    </row>
    <row r="167" spans="1:17" x14ac:dyDescent="0.25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tr">
        <f>TEXT(Tabla1[[#This Row],[FECHA CURSO]],"mmmm")</f>
        <v>mayo</v>
      </c>
      <c r="J167" s="6">
        <f>YEAR(Tabla1[[#This Row],[FECHA CURSO]])</f>
        <v>2021</v>
      </c>
      <c r="K167" s="5" t="s">
        <v>19</v>
      </c>
      <c r="L167" s="3" t="s">
        <v>40</v>
      </c>
      <c r="M167" s="4">
        <v>31.25</v>
      </c>
      <c r="N167" s="3" t="s">
        <v>41</v>
      </c>
      <c r="O167" s="2" t="s">
        <v>22</v>
      </c>
      <c r="P167" s="2" t="s">
        <v>23</v>
      </c>
      <c r="Q167" s="2" t="s">
        <v>41</v>
      </c>
    </row>
    <row r="168" spans="1:17" x14ac:dyDescent="0.25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tr">
        <f>TEXT(Tabla1[[#This Row],[FECHA CURSO]],"mmmm")</f>
        <v>agosto</v>
      </c>
      <c r="J168" s="6">
        <f>YEAR(Tabla1[[#This Row],[FECHA CURSO]])</f>
        <v>2019</v>
      </c>
      <c r="K168" s="5" t="s">
        <v>28</v>
      </c>
      <c r="L168" s="3" t="s">
        <v>20</v>
      </c>
      <c r="M168" s="4">
        <v>37.5</v>
      </c>
      <c r="N168" s="3" t="s">
        <v>41</v>
      </c>
      <c r="O168" s="2" t="s">
        <v>30</v>
      </c>
      <c r="P168" s="2" t="s">
        <v>31</v>
      </c>
      <c r="Q168" s="2" t="s">
        <v>41</v>
      </c>
    </row>
    <row r="169" spans="1:17" x14ac:dyDescent="0.25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tr">
        <f>TEXT(Tabla1[[#This Row],[FECHA CURSO]],"mmmm")</f>
        <v>junio</v>
      </c>
      <c r="J169" s="6">
        <f>YEAR(Tabla1[[#This Row],[FECHA CURSO]])</f>
        <v>2021</v>
      </c>
      <c r="K169" s="5" t="s">
        <v>19</v>
      </c>
      <c r="L169" s="3" t="s">
        <v>29</v>
      </c>
      <c r="M169" s="4">
        <v>50</v>
      </c>
      <c r="N169" s="3" t="s">
        <v>41</v>
      </c>
      <c r="O169" s="2" t="s">
        <v>22</v>
      </c>
      <c r="P169" s="2" t="s">
        <v>23</v>
      </c>
      <c r="Q169" s="2" t="s">
        <v>21</v>
      </c>
    </row>
    <row r="170" spans="1:17" x14ac:dyDescent="0.25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tr">
        <f>TEXT(Tabla1[[#This Row],[FECHA CURSO]],"mmmm")</f>
        <v>septiembre</v>
      </c>
      <c r="J170" s="6">
        <f>YEAR(Tabla1[[#This Row],[FECHA CURSO]])</f>
        <v>2019</v>
      </c>
      <c r="K170" s="5" t="s">
        <v>19</v>
      </c>
      <c r="L170" s="3" t="s">
        <v>36</v>
      </c>
      <c r="M170" s="4">
        <v>43.75</v>
      </c>
      <c r="N170" s="3" t="s">
        <v>41</v>
      </c>
      <c r="O170" s="2" t="s">
        <v>30</v>
      </c>
      <c r="P170" s="2" t="s">
        <v>31</v>
      </c>
      <c r="Q170" s="2" t="s">
        <v>21</v>
      </c>
    </row>
    <row r="171" spans="1:17" x14ac:dyDescent="0.25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tr">
        <f>TEXT(Tabla1[[#This Row],[FECHA CURSO]],"mmmm")</f>
        <v>enero</v>
      </c>
      <c r="J171" s="6">
        <f>YEAR(Tabla1[[#This Row],[FECHA CURSO]])</f>
        <v>2021</v>
      </c>
      <c r="K171" s="5" t="s">
        <v>19</v>
      </c>
      <c r="L171" s="3" t="s">
        <v>40</v>
      </c>
      <c r="M171" s="4">
        <v>506.25</v>
      </c>
      <c r="N171" s="3" t="s">
        <v>41</v>
      </c>
      <c r="O171" s="2" t="s">
        <v>45</v>
      </c>
      <c r="P171" s="2" t="s">
        <v>82</v>
      </c>
      <c r="Q171" s="2" t="s">
        <v>41</v>
      </c>
    </row>
    <row r="172" spans="1:17" x14ac:dyDescent="0.25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tr">
        <f>TEXT(Tabla1[[#This Row],[FECHA CURSO]],"mmmm")</f>
        <v>marzo</v>
      </c>
      <c r="J172" s="6">
        <f>YEAR(Tabla1[[#This Row],[FECHA CURSO]])</f>
        <v>2019</v>
      </c>
      <c r="K172" s="5" t="s">
        <v>19</v>
      </c>
      <c r="L172" s="3" t="s">
        <v>29</v>
      </c>
      <c r="M172" s="4">
        <v>129.6</v>
      </c>
      <c r="N172" s="3" t="s">
        <v>21</v>
      </c>
      <c r="O172" s="2" t="s">
        <v>30</v>
      </c>
      <c r="P172" s="2" t="s">
        <v>31</v>
      </c>
      <c r="Q172" s="2" t="s">
        <v>21</v>
      </c>
    </row>
    <row r="173" spans="1:17" x14ac:dyDescent="0.25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tr">
        <f>TEXT(Tabla1[[#This Row],[FECHA CURSO]],"mmmm")</f>
        <v>octubre</v>
      </c>
      <c r="J173" s="6">
        <f>YEAR(Tabla1[[#This Row],[FECHA CURSO]])</f>
        <v>2019</v>
      </c>
      <c r="K173" s="5" t="s">
        <v>28</v>
      </c>
      <c r="L173" s="3" t="s">
        <v>36</v>
      </c>
      <c r="M173" s="4">
        <v>72</v>
      </c>
      <c r="N173" s="3" t="s">
        <v>41</v>
      </c>
      <c r="O173" s="2" t="s">
        <v>22</v>
      </c>
      <c r="P173" s="2" t="s">
        <v>23</v>
      </c>
      <c r="Q173" s="2" t="s">
        <v>21</v>
      </c>
    </row>
    <row r="174" spans="1:17" x14ac:dyDescent="0.25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tr">
        <f>TEXT(Tabla1[[#This Row],[FECHA CURSO]],"mmmm")</f>
        <v>mayo</v>
      </c>
      <c r="J174" s="6">
        <f>YEAR(Tabla1[[#This Row],[FECHA CURSO]])</f>
        <v>2019</v>
      </c>
      <c r="K174" s="5" t="s">
        <v>28</v>
      </c>
      <c r="L174" s="3" t="s">
        <v>40</v>
      </c>
      <c r="M174" s="4">
        <v>324</v>
      </c>
      <c r="N174" s="3" t="s">
        <v>21</v>
      </c>
      <c r="O174" s="2" t="s">
        <v>30</v>
      </c>
      <c r="P174" s="2" t="s">
        <v>31</v>
      </c>
      <c r="Q174" s="2" t="s">
        <v>41</v>
      </c>
    </row>
    <row r="175" spans="1:17" x14ac:dyDescent="0.25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tr">
        <f>TEXT(Tabla1[[#This Row],[FECHA CURSO]],"mmmm")</f>
        <v>julio</v>
      </c>
      <c r="J175" s="6">
        <f>YEAR(Tabla1[[#This Row],[FECHA CURSO]])</f>
        <v>2019</v>
      </c>
      <c r="K175" s="5" t="s">
        <v>28</v>
      </c>
      <c r="L175" s="3" t="s">
        <v>20</v>
      </c>
      <c r="M175" s="4">
        <v>100</v>
      </c>
      <c r="N175" s="3" t="s">
        <v>21</v>
      </c>
      <c r="O175" s="2" t="s">
        <v>45</v>
      </c>
      <c r="P175" s="2" t="s">
        <v>82</v>
      </c>
      <c r="Q175" s="2" t="s">
        <v>41</v>
      </c>
    </row>
    <row r="176" spans="1:17" x14ac:dyDescent="0.25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tr">
        <f>TEXT(Tabla1[[#This Row],[FECHA CURSO]],"mmmm")</f>
        <v>mayo</v>
      </c>
      <c r="J176" s="6">
        <f>YEAR(Tabla1[[#This Row],[FECHA CURSO]])</f>
        <v>2020</v>
      </c>
      <c r="K176" s="5" t="s">
        <v>28</v>
      </c>
      <c r="L176" s="3" t="s">
        <v>29</v>
      </c>
      <c r="M176" s="4">
        <v>80</v>
      </c>
      <c r="N176" s="3" t="s">
        <v>21</v>
      </c>
      <c r="O176" s="2" t="s">
        <v>22</v>
      </c>
      <c r="P176" s="2" t="s">
        <v>23</v>
      </c>
      <c r="Q176" s="2" t="s">
        <v>21</v>
      </c>
    </row>
    <row r="177" spans="1:17" x14ac:dyDescent="0.25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tr">
        <f>TEXT(Tabla1[[#This Row],[FECHA CURSO]],"mmmm")</f>
        <v>abril</v>
      </c>
      <c r="J177" s="6">
        <f>YEAR(Tabla1[[#This Row],[FECHA CURSO]])</f>
        <v>2019</v>
      </c>
      <c r="K177" s="5" t="s">
        <v>57</v>
      </c>
      <c r="L177" s="3" t="s">
        <v>36</v>
      </c>
      <c r="M177" s="4">
        <v>40</v>
      </c>
      <c r="N177" s="3" t="s">
        <v>21</v>
      </c>
      <c r="O177" s="2" t="s">
        <v>22</v>
      </c>
      <c r="P177" s="2" t="s">
        <v>23</v>
      </c>
      <c r="Q177" s="2" t="s">
        <v>21</v>
      </c>
    </row>
    <row r="178" spans="1:17" x14ac:dyDescent="0.25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tr">
        <f>TEXT(Tabla1[[#This Row],[FECHA CURSO]],"mmmm")</f>
        <v>marzo</v>
      </c>
      <c r="J178" s="6">
        <f>YEAR(Tabla1[[#This Row],[FECHA CURSO]])</f>
        <v>2020</v>
      </c>
      <c r="K178" s="5" t="s">
        <v>57</v>
      </c>
      <c r="L178" s="3" t="s">
        <v>20</v>
      </c>
      <c r="M178" s="4">
        <v>48</v>
      </c>
      <c r="N178" s="3" t="s">
        <v>21</v>
      </c>
      <c r="O178" s="2" t="s">
        <v>45</v>
      </c>
      <c r="P178" s="2" t="s">
        <v>82</v>
      </c>
      <c r="Q178" s="2" t="s">
        <v>41</v>
      </c>
    </row>
    <row r="179" spans="1:17" x14ac:dyDescent="0.25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tr">
        <f>TEXT(Tabla1[[#This Row],[FECHA CURSO]],"mmmm")</f>
        <v>abril</v>
      </c>
      <c r="J179" s="6">
        <f>YEAR(Tabla1[[#This Row],[FECHA CURSO]])</f>
        <v>2019</v>
      </c>
      <c r="K179" s="5" t="s">
        <v>57</v>
      </c>
      <c r="L179" s="3" t="s">
        <v>29</v>
      </c>
      <c r="M179" s="4">
        <v>36</v>
      </c>
      <c r="N179" s="3" t="s">
        <v>21</v>
      </c>
      <c r="O179" s="2" t="s">
        <v>45</v>
      </c>
      <c r="P179" s="2" t="s">
        <v>82</v>
      </c>
      <c r="Q179" s="2" t="s">
        <v>21</v>
      </c>
    </row>
    <row r="180" spans="1:17" x14ac:dyDescent="0.25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tr">
        <f>TEXT(Tabla1[[#This Row],[FECHA CURSO]],"mmmm")</f>
        <v>noviembre</v>
      </c>
      <c r="J180" s="6">
        <f>YEAR(Tabla1[[#This Row],[FECHA CURSO]])</f>
        <v>2019</v>
      </c>
      <c r="K180" s="5" t="s">
        <v>28</v>
      </c>
      <c r="L180" s="3" t="s">
        <v>36</v>
      </c>
      <c r="M180" s="4">
        <v>48</v>
      </c>
      <c r="N180" s="3" t="s">
        <v>21</v>
      </c>
      <c r="O180" s="2" t="s">
        <v>22</v>
      </c>
      <c r="P180" s="2" t="s">
        <v>23</v>
      </c>
      <c r="Q180" s="2" t="s">
        <v>21</v>
      </c>
    </row>
    <row r="181" spans="1:17" x14ac:dyDescent="0.25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tr">
        <f>TEXT(Tabla1[[#This Row],[FECHA CURSO]],"mmmm")</f>
        <v>diciembre</v>
      </c>
      <c r="J181" s="6">
        <f>YEAR(Tabla1[[#This Row],[FECHA CURSO]])</f>
        <v>2019</v>
      </c>
      <c r="K181" s="5" t="s">
        <v>28</v>
      </c>
      <c r="L181" s="3" t="s">
        <v>40</v>
      </c>
      <c r="M181" s="4">
        <v>60</v>
      </c>
      <c r="N181" s="3" t="s">
        <v>21</v>
      </c>
      <c r="O181" s="2" t="s">
        <v>30</v>
      </c>
      <c r="P181" s="2" t="s">
        <v>104</v>
      </c>
      <c r="Q181" s="2" t="s">
        <v>41</v>
      </c>
    </row>
    <row r="182" spans="1:17" x14ac:dyDescent="0.25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tr">
        <f>TEXT(Tabla1[[#This Row],[FECHA CURSO]],"mmmm")</f>
        <v>marzo</v>
      </c>
      <c r="J182" s="6">
        <f>YEAR(Tabla1[[#This Row],[FECHA CURSO]])</f>
        <v>2019</v>
      </c>
      <c r="K182" s="5" t="s">
        <v>28</v>
      </c>
      <c r="L182" s="3" t="s">
        <v>20</v>
      </c>
      <c r="M182" s="4">
        <v>52.5</v>
      </c>
      <c r="N182" s="3" t="s">
        <v>21</v>
      </c>
      <c r="O182" s="2" t="s">
        <v>45</v>
      </c>
      <c r="P182" s="2" t="s">
        <v>82</v>
      </c>
      <c r="Q182" s="2" t="s">
        <v>41</v>
      </c>
    </row>
    <row r="183" spans="1:17" x14ac:dyDescent="0.25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tr">
        <f>TEXT(Tabla1[[#This Row],[FECHA CURSO]],"mmmm")</f>
        <v>noviembre</v>
      </c>
      <c r="J183" s="6">
        <f>YEAR(Tabla1[[#This Row],[FECHA CURSO]])</f>
        <v>2021</v>
      </c>
      <c r="K183" s="5" t="s">
        <v>28</v>
      </c>
      <c r="L183" s="3" t="s">
        <v>29</v>
      </c>
      <c r="M183" s="4">
        <v>70</v>
      </c>
      <c r="N183" s="3" t="s">
        <v>21</v>
      </c>
      <c r="O183" s="2" t="s">
        <v>45</v>
      </c>
      <c r="P183" s="2" t="s">
        <v>82</v>
      </c>
      <c r="Q183" s="2" t="s">
        <v>21</v>
      </c>
    </row>
    <row r="184" spans="1:17" x14ac:dyDescent="0.25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tr">
        <f>TEXT(Tabla1[[#This Row],[FECHA CURSO]],"mmmm")</f>
        <v>noviembre</v>
      </c>
      <c r="J184" s="6">
        <f>YEAR(Tabla1[[#This Row],[FECHA CURSO]])</f>
        <v>2019</v>
      </c>
      <c r="K184" s="5" t="s">
        <v>57</v>
      </c>
      <c r="L184" s="3" t="s">
        <v>36</v>
      </c>
      <c r="M184" s="4">
        <v>84</v>
      </c>
      <c r="N184" s="3" t="s">
        <v>21</v>
      </c>
      <c r="O184" s="2" t="s">
        <v>22</v>
      </c>
      <c r="P184" s="2" t="s">
        <v>23</v>
      </c>
      <c r="Q184" s="2" t="s">
        <v>21</v>
      </c>
    </row>
    <row r="185" spans="1:17" x14ac:dyDescent="0.25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tr">
        <f>TEXT(Tabla1[[#This Row],[FECHA CURSO]],"mmmm")</f>
        <v>septiembre</v>
      </c>
      <c r="J185" s="6">
        <f>YEAR(Tabla1[[#This Row],[FECHA CURSO]])</f>
        <v>2020</v>
      </c>
      <c r="K185" s="5" t="s">
        <v>57</v>
      </c>
      <c r="L185" s="3" t="s">
        <v>40</v>
      </c>
      <c r="M185" s="4">
        <v>180</v>
      </c>
      <c r="N185" s="3" t="s">
        <v>21</v>
      </c>
      <c r="O185" s="2" t="s">
        <v>22</v>
      </c>
      <c r="P185" s="2" t="s">
        <v>73</v>
      </c>
      <c r="Q185" s="2" t="s">
        <v>41</v>
      </c>
    </row>
    <row r="186" spans="1:17" x14ac:dyDescent="0.25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tr">
        <f>TEXT(Tabla1[[#This Row],[FECHA CURSO]],"mmmm")</f>
        <v>marzo</v>
      </c>
      <c r="J186" s="6">
        <f>YEAR(Tabla1[[#This Row],[FECHA CURSO]])</f>
        <v>2021</v>
      </c>
      <c r="K186" s="5" t="s">
        <v>57</v>
      </c>
      <c r="L186" s="3" t="s">
        <v>29</v>
      </c>
      <c r="M186" s="4">
        <v>31.5</v>
      </c>
      <c r="N186" s="3" t="s">
        <v>21</v>
      </c>
      <c r="O186" s="2" t="s">
        <v>22</v>
      </c>
      <c r="P186" s="2" t="s">
        <v>73</v>
      </c>
      <c r="Q186" s="2" t="s">
        <v>21</v>
      </c>
    </row>
    <row r="187" spans="1:17" x14ac:dyDescent="0.25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tr">
        <f>TEXT(Tabla1[[#This Row],[FECHA CURSO]],"mmmm")</f>
        <v>enero</v>
      </c>
      <c r="J187" s="6">
        <f>YEAR(Tabla1[[#This Row],[FECHA CURSO]])</f>
        <v>2019</v>
      </c>
      <c r="K187" s="5" t="s">
        <v>57</v>
      </c>
      <c r="L187" s="3" t="s">
        <v>36</v>
      </c>
      <c r="M187" s="4">
        <v>17.5</v>
      </c>
      <c r="N187" s="3" t="s">
        <v>41</v>
      </c>
      <c r="O187" s="2" t="s">
        <v>45</v>
      </c>
      <c r="P187" s="2" t="s">
        <v>82</v>
      </c>
      <c r="Q187" s="2" t="s">
        <v>21</v>
      </c>
    </row>
    <row r="188" spans="1:17" x14ac:dyDescent="0.25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tr">
        <f>TEXT(Tabla1[[#This Row],[FECHA CURSO]],"mmmm")</f>
        <v>septiembre</v>
      </c>
      <c r="J188" s="6">
        <f>YEAR(Tabla1[[#This Row],[FECHA CURSO]])</f>
        <v>2021</v>
      </c>
      <c r="K188" s="5" t="s">
        <v>57</v>
      </c>
      <c r="L188" s="3" t="s">
        <v>40</v>
      </c>
      <c r="M188" s="4">
        <v>21</v>
      </c>
      <c r="N188" s="3" t="s">
        <v>41</v>
      </c>
      <c r="O188" s="2" t="s">
        <v>45</v>
      </c>
      <c r="P188" s="2" t="s">
        <v>82</v>
      </c>
      <c r="Q188" s="2" t="s">
        <v>21</v>
      </c>
    </row>
    <row r="189" spans="1:17" x14ac:dyDescent="0.25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tr">
        <f>TEXT(Tabla1[[#This Row],[FECHA CURSO]],"mmmm")</f>
        <v>enero</v>
      </c>
      <c r="J189" s="6">
        <f>YEAR(Tabla1[[#This Row],[FECHA CURSO]])</f>
        <v>2019</v>
      </c>
      <c r="K189" s="5" t="s">
        <v>28</v>
      </c>
      <c r="L189" s="3" t="s">
        <v>20</v>
      </c>
      <c r="M189" s="4">
        <v>36</v>
      </c>
      <c r="N189" s="3" t="s">
        <v>21</v>
      </c>
      <c r="O189" s="2" t="s">
        <v>22</v>
      </c>
      <c r="P189" s="2" t="s">
        <v>73</v>
      </c>
      <c r="Q189" s="2" t="s">
        <v>21</v>
      </c>
    </row>
    <row r="190" spans="1:17" x14ac:dyDescent="0.25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tr">
        <f>TEXT(Tabla1[[#This Row],[FECHA CURSO]],"mmmm")</f>
        <v>abril</v>
      </c>
      <c r="J190" s="6">
        <f>YEAR(Tabla1[[#This Row],[FECHA CURSO]])</f>
        <v>2021</v>
      </c>
      <c r="K190" s="5" t="s">
        <v>57</v>
      </c>
      <c r="L190" s="3" t="s">
        <v>29</v>
      </c>
      <c r="M190" s="4">
        <v>60</v>
      </c>
      <c r="N190" s="3" t="s">
        <v>21</v>
      </c>
      <c r="O190" s="2" t="s">
        <v>22</v>
      </c>
      <c r="P190" s="2" t="s">
        <v>23</v>
      </c>
      <c r="Q190" s="2" t="s">
        <v>21</v>
      </c>
    </row>
    <row r="191" spans="1:17" x14ac:dyDescent="0.25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tr">
        <f>TEXT(Tabla1[[#This Row],[FECHA CURSO]],"mmmm")</f>
        <v>marzo</v>
      </c>
      <c r="J191" s="6">
        <f>YEAR(Tabla1[[#This Row],[FECHA CURSO]])</f>
        <v>2019</v>
      </c>
      <c r="K191" s="5" t="s">
        <v>57</v>
      </c>
      <c r="L191" s="3" t="s">
        <v>36</v>
      </c>
      <c r="M191" s="4">
        <v>36</v>
      </c>
      <c r="N191" s="3" t="s">
        <v>21</v>
      </c>
      <c r="O191" s="2" t="s">
        <v>22</v>
      </c>
      <c r="P191" s="2" t="s">
        <v>23</v>
      </c>
      <c r="Q191" s="2" t="s">
        <v>21</v>
      </c>
    </row>
    <row r="192" spans="1:17" x14ac:dyDescent="0.25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tr">
        <f>TEXT(Tabla1[[#This Row],[FECHA CURSO]],"mmmm")</f>
        <v>abril</v>
      </c>
      <c r="J192" s="6">
        <f>YEAR(Tabla1[[#This Row],[FECHA CURSO]])</f>
        <v>2019</v>
      </c>
      <c r="K192" s="5" t="s">
        <v>57</v>
      </c>
      <c r="L192" s="3" t="s">
        <v>20</v>
      </c>
      <c r="M192" s="4">
        <v>12.5</v>
      </c>
      <c r="N192" s="3" t="s">
        <v>21</v>
      </c>
      <c r="O192" s="2" t="s">
        <v>45</v>
      </c>
      <c r="P192" s="2" t="s">
        <v>82</v>
      </c>
      <c r="Q192" s="2" t="s">
        <v>21</v>
      </c>
    </row>
    <row r="193" spans="1:17" x14ac:dyDescent="0.25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tr">
        <f>TEXT(Tabla1[[#This Row],[FECHA CURSO]],"mmmm")</f>
        <v>mayo</v>
      </c>
      <c r="J193" s="6">
        <f>YEAR(Tabla1[[#This Row],[FECHA CURSO]])</f>
        <v>2019</v>
      </c>
      <c r="K193" s="5" t="s">
        <v>28</v>
      </c>
      <c r="L193" s="3" t="s">
        <v>29</v>
      </c>
      <c r="M193" s="4">
        <v>15</v>
      </c>
      <c r="N193" s="3" t="s">
        <v>21</v>
      </c>
      <c r="O193" s="2" t="s">
        <v>30</v>
      </c>
      <c r="P193" s="2" t="s">
        <v>104</v>
      </c>
      <c r="Q193" s="2" t="s">
        <v>21</v>
      </c>
    </row>
    <row r="194" spans="1:17" x14ac:dyDescent="0.25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tr">
        <f>TEXT(Tabla1[[#This Row],[FECHA CURSO]],"mmmm")</f>
        <v>diciembre</v>
      </c>
      <c r="J194" s="6">
        <f>YEAR(Tabla1[[#This Row],[FECHA CURSO]])</f>
        <v>2020</v>
      </c>
      <c r="K194" s="5" t="s">
        <v>28</v>
      </c>
      <c r="L194" s="3" t="s">
        <v>36</v>
      </c>
      <c r="M194" s="4">
        <v>18.75</v>
      </c>
      <c r="N194" s="3" t="s">
        <v>21</v>
      </c>
      <c r="O194" s="2" t="s">
        <v>45</v>
      </c>
      <c r="P194" s="2" t="s">
        <v>82</v>
      </c>
      <c r="Q194" s="2" t="s">
        <v>21</v>
      </c>
    </row>
    <row r="195" spans="1:17" x14ac:dyDescent="0.25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tr">
        <f>TEXT(Tabla1[[#This Row],[FECHA CURSO]],"mmmm")</f>
        <v>noviembre</v>
      </c>
      <c r="J195" s="6">
        <f>YEAR(Tabla1[[#This Row],[FECHA CURSO]])</f>
        <v>2019</v>
      </c>
      <c r="K195" s="5" t="s">
        <v>28</v>
      </c>
      <c r="L195" s="3" t="s">
        <v>40</v>
      </c>
      <c r="M195" s="4">
        <v>31.25</v>
      </c>
      <c r="N195" s="3" t="s">
        <v>21</v>
      </c>
      <c r="O195" s="2" t="s">
        <v>22</v>
      </c>
      <c r="P195" s="2" t="s">
        <v>101</v>
      </c>
      <c r="Q195" s="2" t="s">
        <v>21</v>
      </c>
    </row>
    <row r="196" spans="1:17" x14ac:dyDescent="0.25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tr">
        <f>TEXT(Tabla1[[#This Row],[FECHA CURSO]],"mmmm")</f>
        <v>octubre</v>
      </c>
      <c r="J196" s="6">
        <f>YEAR(Tabla1[[#This Row],[FECHA CURSO]])</f>
        <v>2021</v>
      </c>
      <c r="K196" s="5" t="s">
        <v>28</v>
      </c>
      <c r="L196" s="3" t="s">
        <v>29</v>
      </c>
      <c r="M196" s="4">
        <v>18.75</v>
      </c>
      <c r="N196" s="3" t="s">
        <v>21</v>
      </c>
      <c r="O196" s="2" t="s">
        <v>30</v>
      </c>
      <c r="P196" s="2" t="s">
        <v>104</v>
      </c>
      <c r="Q196" s="2" t="s">
        <v>21</v>
      </c>
    </row>
    <row r="197" spans="1:17" x14ac:dyDescent="0.25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tr">
        <f>TEXT(Tabla1[[#This Row],[FECHA CURSO]],"mmmm")</f>
        <v>junio</v>
      </c>
      <c r="J197" s="6">
        <f>YEAR(Tabla1[[#This Row],[FECHA CURSO]])</f>
        <v>2021</v>
      </c>
      <c r="K197" s="5" t="s">
        <v>57</v>
      </c>
      <c r="L197" s="3" t="s">
        <v>36</v>
      </c>
      <c r="M197" s="4">
        <v>225</v>
      </c>
      <c r="N197" s="3" t="s">
        <v>21</v>
      </c>
      <c r="O197" s="2" t="s">
        <v>45</v>
      </c>
      <c r="P197" s="2" t="s">
        <v>82</v>
      </c>
      <c r="Q197" s="2" t="s">
        <v>21</v>
      </c>
    </row>
    <row r="198" spans="1:17" x14ac:dyDescent="0.25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tr">
        <f>TEXT(Tabla1[[#This Row],[FECHA CURSO]],"mmmm")</f>
        <v>junio</v>
      </c>
      <c r="J198" s="6">
        <f>YEAR(Tabla1[[#This Row],[FECHA CURSO]])</f>
        <v>2019</v>
      </c>
      <c r="K198" s="5" t="s">
        <v>57</v>
      </c>
      <c r="L198" s="3" t="s">
        <v>40</v>
      </c>
      <c r="M198" s="4">
        <v>144</v>
      </c>
      <c r="N198" s="3" t="s">
        <v>21</v>
      </c>
      <c r="O198" s="2" t="s">
        <v>30</v>
      </c>
      <c r="P198" s="2" t="s">
        <v>104</v>
      </c>
      <c r="Q198" s="2" t="s">
        <v>21</v>
      </c>
    </row>
    <row r="199" spans="1:17" x14ac:dyDescent="0.25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tr">
        <f>TEXT(Tabla1[[#This Row],[FECHA CURSO]],"mmmm")</f>
        <v>diciembre</v>
      </c>
      <c r="J199" s="6">
        <f>YEAR(Tabla1[[#This Row],[FECHA CURSO]])</f>
        <v>2020</v>
      </c>
      <c r="K199" s="5" t="s">
        <v>57</v>
      </c>
      <c r="L199" s="3" t="s">
        <v>20</v>
      </c>
      <c r="M199" s="4">
        <v>216</v>
      </c>
      <c r="N199" s="3" t="s">
        <v>21</v>
      </c>
      <c r="O199" s="2" t="s">
        <v>22</v>
      </c>
      <c r="P199" s="2" t="s">
        <v>101</v>
      </c>
      <c r="Q199" s="2" t="s">
        <v>41</v>
      </c>
    </row>
    <row r="200" spans="1:17" x14ac:dyDescent="0.25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tr">
        <f>TEXT(Tabla1[[#This Row],[FECHA CURSO]],"mmmm")</f>
        <v>febrero</v>
      </c>
      <c r="J200" s="6">
        <f>YEAR(Tabla1[[#This Row],[FECHA CURSO]])</f>
        <v>2021</v>
      </c>
      <c r="K200" s="5" t="s">
        <v>57</v>
      </c>
      <c r="L200" s="3" t="s">
        <v>29</v>
      </c>
      <c r="M200" s="4">
        <v>252</v>
      </c>
      <c r="N200" s="3" t="s">
        <v>21</v>
      </c>
      <c r="O200" s="2" t="s">
        <v>30</v>
      </c>
      <c r="P200" s="2" t="s">
        <v>104</v>
      </c>
      <c r="Q200" s="2" t="s">
        <v>21</v>
      </c>
    </row>
    <row r="201" spans="1:17" x14ac:dyDescent="0.25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tr">
        <f>TEXT(Tabla1[[#This Row],[FECHA CURSO]],"mmmm")</f>
        <v>octubre</v>
      </c>
      <c r="J201" s="6">
        <f>YEAR(Tabla1[[#This Row],[FECHA CURSO]])</f>
        <v>2019</v>
      </c>
      <c r="K201" s="5" t="s">
        <v>57</v>
      </c>
      <c r="L201" s="3" t="s">
        <v>36</v>
      </c>
      <c r="M201" s="4">
        <v>160</v>
      </c>
      <c r="N201" s="3" t="s">
        <v>21</v>
      </c>
      <c r="O201" s="2" t="s">
        <v>45</v>
      </c>
      <c r="P201" s="2" t="s">
        <v>82</v>
      </c>
      <c r="Q201" s="2" t="s">
        <v>21</v>
      </c>
    </row>
    <row r="202" spans="1:17" x14ac:dyDescent="0.25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tr">
        <f>TEXT(Tabla1[[#This Row],[FECHA CURSO]],"mmmm")</f>
        <v>julio</v>
      </c>
      <c r="J202" s="6">
        <f>YEAR(Tabla1[[#This Row],[FECHA CURSO]])</f>
        <v>2021</v>
      </c>
      <c r="K202" s="5" t="s">
        <v>28</v>
      </c>
      <c r="L202" s="3" t="s">
        <v>20</v>
      </c>
      <c r="M202" s="4">
        <v>160</v>
      </c>
      <c r="N202" s="3" t="s">
        <v>21</v>
      </c>
      <c r="O202" s="2" t="s">
        <v>22</v>
      </c>
      <c r="P202" s="2" t="s">
        <v>101</v>
      </c>
      <c r="Q202" s="2" t="s">
        <v>41</v>
      </c>
    </row>
    <row r="203" spans="1:17" x14ac:dyDescent="0.25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tr">
        <f>TEXT(Tabla1[[#This Row],[FECHA CURSO]],"mmmm")</f>
        <v>abril</v>
      </c>
      <c r="J203" s="6">
        <f>YEAR(Tabla1[[#This Row],[FECHA CURSO]])</f>
        <v>2020</v>
      </c>
      <c r="K203" s="5" t="s">
        <v>19</v>
      </c>
      <c r="L203" s="3" t="s">
        <v>29</v>
      </c>
      <c r="M203" s="4">
        <v>140</v>
      </c>
      <c r="N203" s="3" t="s">
        <v>21</v>
      </c>
      <c r="O203" s="2" t="s">
        <v>22</v>
      </c>
      <c r="P203" s="2" t="s">
        <v>101</v>
      </c>
      <c r="Q203" s="2" t="s">
        <v>21</v>
      </c>
    </row>
    <row r="204" spans="1:17" x14ac:dyDescent="0.25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tr">
        <f>TEXT(Tabla1[[#This Row],[FECHA CURSO]],"mmmm")</f>
        <v>diciembre</v>
      </c>
      <c r="J204" s="6">
        <f>YEAR(Tabla1[[#This Row],[FECHA CURSO]])</f>
        <v>2021</v>
      </c>
      <c r="K204" s="5" t="s">
        <v>28</v>
      </c>
      <c r="L204" s="3" t="s">
        <v>36</v>
      </c>
      <c r="M204" s="4">
        <v>40</v>
      </c>
      <c r="N204" s="3" t="s">
        <v>41</v>
      </c>
      <c r="O204" s="2" t="s">
        <v>45</v>
      </c>
      <c r="P204" s="2" t="s">
        <v>46</v>
      </c>
      <c r="Q204" s="2" t="s">
        <v>21</v>
      </c>
    </row>
    <row r="205" spans="1:17" x14ac:dyDescent="0.25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tr">
        <f>TEXT(Tabla1[[#This Row],[FECHA CURSO]],"mmmm")</f>
        <v>agosto</v>
      </c>
      <c r="J205" s="6">
        <f>YEAR(Tabla1[[#This Row],[FECHA CURSO]])</f>
        <v>2020</v>
      </c>
      <c r="K205" s="5" t="s">
        <v>19</v>
      </c>
      <c r="L205" s="3" t="s">
        <v>40</v>
      </c>
      <c r="M205" s="4">
        <v>28.8</v>
      </c>
      <c r="N205" s="3" t="s">
        <v>21</v>
      </c>
      <c r="O205" s="2" t="s">
        <v>45</v>
      </c>
      <c r="P205" s="2" t="s">
        <v>46</v>
      </c>
      <c r="Q205" s="2" t="s">
        <v>41</v>
      </c>
    </row>
    <row r="206" spans="1:17" x14ac:dyDescent="0.25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tr">
        <f>TEXT(Tabla1[[#This Row],[FECHA CURSO]],"mmmm")</f>
        <v>enero</v>
      </c>
      <c r="J206" s="6">
        <f>YEAR(Tabla1[[#This Row],[FECHA CURSO]])</f>
        <v>2021</v>
      </c>
      <c r="K206" s="5" t="s">
        <v>19</v>
      </c>
      <c r="L206" s="3" t="s">
        <v>20</v>
      </c>
      <c r="M206" s="4">
        <v>36</v>
      </c>
      <c r="N206" s="3" t="s">
        <v>21</v>
      </c>
      <c r="O206" s="2" t="s">
        <v>22</v>
      </c>
      <c r="P206" s="2" t="s">
        <v>101</v>
      </c>
      <c r="Q206" s="2" t="s">
        <v>41</v>
      </c>
    </row>
    <row r="207" spans="1:17" x14ac:dyDescent="0.25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tr">
        <f>TEXT(Tabla1[[#This Row],[FECHA CURSO]],"mmmm")</f>
        <v>agosto</v>
      </c>
      <c r="J207" s="6">
        <f>YEAR(Tabla1[[#This Row],[FECHA CURSO]])</f>
        <v>2019</v>
      </c>
      <c r="K207" s="5" t="s">
        <v>19</v>
      </c>
      <c r="L207" s="3" t="s">
        <v>29</v>
      </c>
      <c r="M207" s="4">
        <v>60</v>
      </c>
      <c r="N207" s="3" t="s">
        <v>21</v>
      </c>
      <c r="O207" s="2" t="s">
        <v>30</v>
      </c>
      <c r="P207" s="2" t="s">
        <v>104</v>
      </c>
      <c r="Q207" s="2" t="s">
        <v>21</v>
      </c>
    </row>
    <row r="208" spans="1:17" x14ac:dyDescent="0.25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tr">
        <f>TEXT(Tabla1[[#This Row],[FECHA CURSO]],"mmmm")</f>
        <v>mayo</v>
      </c>
      <c r="J208" s="6">
        <f>YEAR(Tabla1[[#This Row],[FECHA CURSO]])</f>
        <v>2019</v>
      </c>
      <c r="K208" s="5" t="s">
        <v>19</v>
      </c>
      <c r="L208" s="3" t="s">
        <v>36</v>
      </c>
      <c r="M208" s="4">
        <v>26.25</v>
      </c>
      <c r="N208" s="3" t="s">
        <v>21</v>
      </c>
      <c r="O208" s="2" t="s">
        <v>45</v>
      </c>
      <c r="P208" s="2" t="s">
        <v>46</v>
      </c>
      <c r="Q208" s="2" t="s">
        <v>21</v>
      </c>
    </row>
    <row r="209" spans="1:17" x14ac:dyDescent="0.25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tr">
        <f>TEXT(Tabla1[[#This Row],[FECHA CURSO]],"mmmm")</f>
        <v>agosto</v>
      </c>
      <c r="J209" s="6">
        <f>YEAR(Tabla1[[#This Row],[FECHA CURSO]])</f>
        <v>2021</v>
      </c>
      <c r="K209" s="5" t="s">
        <v>28</v>
      </c>
      <c r="L209" s="3" t="s">
        <v>40</v>
      </c>
      <c r="M209" s="4">
        <v>17.5</v>
      </c>
      <c r="N209" s="3" t="s">
        <v>41</v>
      </c>
      <c r="O209" s="2" t="s">
        <v>45</v>
      </c>
      <c r="P209" s="2" t="s">
        <v>46</v>
      </c>
      <c r="Q209" s="2" t="s">
        <v>41</v>
      </c>
    </row>
    <row r="210" spans="1:17" x14ac:dyDescent="0.25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tr">
        <f>TEXT(Tabla1[[#This Row],[FECHA CURSO]],"mmmm")</f>
        <v>agosto</v>
      </c>
      <c r="J210" s="6">
        <f>YEAR(Tabla1[[#This Row],[FECHA CURSO]])</f>
        <v>2020</v>
      </c>
      <c r="K210" s="5" t="s">
        <v>28</v>
      </c>
      <c r="L210" s="3" t="s">
        <v>29</v>
      </c>
      <c r="M210" s="4">
        <v>21</v>
      </c>
      <c r="N210" s="3" t="s">
        <v>41</v>
      </c>
      <c r="O210" s="2" t="s">
        <v>22</v>
      </c>
      <c r="P210" s="2" t="s">
        <v>101</v>
      </c>
      <c r="Q210" s="2" t="s">
        <v>21</v>
      </c>
    </row>
    <row r="211" spans="1:17" x14ac:dyDescent="0.25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tr">
        <f>TEXT(Tabla1[[#This Row],[FECHA CURSO]],"mmmm")</f>
        <v>marzo</v>
      </c>
      <c r="J211" s="6">
        <f>YEAR(Tabla1[[#This Row],[FECHA CURSO]])</f>
        <v>2021</v>
      </c>
      <c r="K211" s="5" t="s">
        <v>28</v>
      </c>
      <c r="L211" s="3" t="s">
        <v>36</v>
      </c>
      <c r="M211" s="4">
        <v>26.25</v>
      </c>
      <c r="N211" s="3" t="s">
        <v>21</v>
      </c>
      <c r="O211" s="2" t="s">
        <v>22</v>
      </c>
      <c r="P211" s="2" t="s">
        <v>101</v>
      </c>
      <c r="Q211" s="2" t="s">
        <v>21</v>
      </c>
    </row>
    <row r="212" spans="1:17" x14ac:dyDescent="0.25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tr">
        <f>TEXT(Tabla1[[#This Row],[FECHA CURSO]],"mmmm")</f>
        <v>noviembre</v>
      </c>
      <c r="J212" s="6">
        <f>YEAR(Tabla1[[#This Row],[FECHA CURSO]])</f>
        <v>2020</v>
      </c>
      <c r="K212" s="5" t="s">
        <v>28</v>
      </c>
      <c r="L212" s="3" t="s">
        <v>40</v>
      </c>
      <c r="M212" s="4">
        <v>60</v>
      </c>
      <c r="N212" s="3" t="s">
        <v>21</v>
      </c>
      <c r="O212" s="2" t="s">
        <v>22</v>
      </c>
      <c r="P212" s="2" t="s">
        <v>101</v>
      </c>
      <c r="Q212" s="2" t="s">
        <v>41</v>
      </c>
    </row>
    <row r="213" spans="1:17" x14ac:dyDescent="0.25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tr">
        <f>TEXT(Tabla1[[#This Row],[FECHA CURSO]],"mmmm")</f>
        <v>agosto</v>
      </c>
      <c r="J213" s="6">
        <f>YEAR(Tabla1[[#This Row],[FECHA CURSO]])</f>
        <v>2019</v>
      </c>
      <c r="K213" s="5" t="s">
        <v>57</v>
      </c>
      <c r="L213" s="3" t="s">
        <v>20</v>
      </c>
      <c r="M213" s="4">
        <v>60</v>
      </c>
      <c r="N213" s="3" t="s">
        <v>41</v>
      </c>
      <c r="O213" s="2" t="s">
        <v>45</v>
      </c>
      <c r="P213" s="2" t="s">
        <v>46</v>
      </c>
      <c r="Q213" s="2" t="s">
        <v>41</v>
      </c>
    </row>
    <row r="214" spans="1:17" x14ac:dyDescent="0.25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tr">
        <f>TEXT(Tabla1[[#This Row],[FECHA CURSO]],"mmmm")</f>
        <v>febrero</v>
      </c>
      <c r="J214" s="6">
        <f>YEAR(Tabla1[[#This Row],[FECHA CURSO]])</f>
        <v>2020</v>
      </c>
      <c r="K214" s="5" t="s">
        <v>57</v>
      </c>
      <c r="L214" s="3" t="s">
        <v>20</v>
      </c>
      <c r="M214" s="4">
        <v>35</v>
      </c>
      <c r="N214" s="3" t="s">
        <v>21</v>
      </c>
      <c r="O214" s="2" t="s">
        <v>45</v>
      </c>
      <c r="P214" s="2" t="s">
        <v>46</v>
      </c>
      <c r="Q214" s="2" t="s">
        <v>41</v>
      </c>
    </row>
    <row r="215" spans="1:17" x14ac:dyDescent="0.25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tr">
        <f>TEXT(Tabla1[[#This Row],[FECHA CURSO]],"mmmm")</f>
        <v>octubre</v>
      </c>
      <c r="J215" s="6">
        <f>YEAR(Tabla1[[#This Row],[FECHA CURSO]])</f>
        <v>2019</v>
      </c>
      <c r="K215" s="5" t="s">
        <v>57</v>
      </c>
      <c r="L215" s="3" t="s">
        <v>29</v>
      </c>
      <c r="M215" s="4">
        <v>35</v>
      </c>
      <c r="N215" s="3" t="s">
        <v>21</v>
      </c>
      <c r="O215" s="2" t="s">
        <v>22</v>
      </c>
      <c r="P215" s="2" t="s">
        <v>101</v>
      </c>
      <c r="Q215" s="2" t="s">
        <v>21</v>
      </c>
    </row>
    <row r="216" spans="1:17" x14ac:dyDescent="0.25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tr">
        <f>TEXT(Tabla1[[#This Row],[FECHA CURSO]],"mmmm")</f>
        <v>septiembre</v>
      </c>
      <c r="J216" s="6">
        <f>YEAR(Tabla1[[#This Row],[FECHA CURSO]])</f>
        <v>2019</v>
      </c>
      <c r="K216" s="5" t="s">
        <v>28</v>
      </c>
      <c r="L216" s="3" t="s">
        <v>36</v>
      </c>
      <c r="M216" s="4">
        <v>52.5</v>
      </c>
      <c r="N216" s="3" t="s">
        <v>21</v>
      </c>
      <c r="O216" s="2" t="s">
        <v>22</v>
      </c>
      <c r="P216" s="2" t="s">
        <v>101</v>
      </c>
      <c r="Q216" s="2" t="s">
        <v>21</v>
      </c>
    </row>
    <row r="217" spans="1:17" x14ac:dyDescent="0.25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tr">
        <f>TEXT(Tabla1[[#This Row],[FECHA CURSO]],"mmmm")</f>
        <v>agosto</v>
      </c>
      <c r="J217" s="6">
        <f>YEAR(Tabla1[[#This Row],[FECHA CURSO]])</f>
        <v>2021</v>
      </c>
      <c r="K217" s="5" t="s">
        <v>28</v>
      </c>
      <c r="L217" s="3" t="s">
        <v>40</v>
      </c>
      <c r="M217" s="4">
        <v>84</v>
      </c>
      <c r="N217" s="3" t="s">
        <v>21</v>
      </c>
      <c r="O217" s="2" t="s">
        <v>30</v>
      </c>
      <c r="P217" s="2" t="s">
        <v>104</v>
      </c>
      <c r="Q217" s="2" t="s">
        <v>41</v>
      </c>
    </row>
    <row r="218" spans="1:17" x14ac:dyDescent="0.25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tr">
        <f>TEXT(Tabla1[[#This Row],[FECHA CURSO]],"mmmm")</f>
        <v>marzo</v>
      </c>
      <c r="J218" s="6">
        <f>YEAR(Tabla1[[#This Row],[FECHA CURSO]])</f>
        <v>2019</v>
      </c>
      <c r="K218" s="5" t="s">
        <v>28</v>
      </c>
      <c r="L218" s="3" t="s">
        <v>29</v>
      </c>
      <c r="M218" s="4">
        <v>96</v>
      </c>
      <c r="N218" s="3" t="s">
        <v>21</v>
      </c>
      <c r="O218" s="2" t="s">
        <v>22</v>
      </c>
      <c r="P218" s="2" t="s">
        <v>101</v>
      </c>
      <c r="Q218" s="2" t="s">
        <v>21</v>
      </c>
    </row>
    <row r="219" spans="1:17" x14ac:dyDescent="0.25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tr">
        <f>TEXT(Tabla1[[#This Row],[FECHA CURSO]],"mmmm")</f>
        <v>febrero</v>
      </c>
      <c r="J219" s="6">
        <f>YEAR(Tabla1[[#This Row],[FECHA CURSO]])</f>
        <v>2020</v>
      </c>
      <c r="K219" s="5" t="s">
        <v>28</v>
      </c>
      <c r="L219" s="3" t="s">
        <v>36</v>
      </c>
      <c r="M219" s="4">
        <v>96</v>
      </c>
      <c r="N219" s="3" t="s">
        <v>21</v>
      </c>
      <c r="O219" s="2" t="s">
        <v>30</v>
      </c>
      <c r="P219" s="2" t="s">
        <v>104</v>
      </c>
      <c r="Q219" s="2" t="s">
        <v>21</v>
      </c>
    </row>
    <row r="220" spans="1:17" x14ac:dyDescent="0.25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tr">
        <f>TEXT(Tabla1[[#This Row],[FECHA CURSO]],"mmmm")</f>
        <v>junio</v>
      </c>
      <c r="J220" s="6">
        <f>YEAR(Tabla1[[#This Row],[FECHA CURSO]])</f>
        <v>2021</v>
      </c>
      <c r="K220" s="5" t="s">
        <v>57</v>
      </c>
      <c r="L220" s="3" t="s">
        <v>40</v>
      </c>
      <c r="M220" s="4">
        <v>43.75</v>
      </c>
      <c r="N220" s="3" t="s">
        <v>21</v>
      </c>
      <c r="O220" s="2" t="s">
        <v>45</v>
      </c>
      <c r="P220" s="2" t="s">
        <v>46</v>
      </c>
      <c r="Q220" s="2" t="s">
        <v>41</v>
      </c>
    </row>
    <row r="221" spans="1:17" x14ac:dyDescent="0.25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tr">
        <f>TEXT(Tabla1[[#This Row],[FECHA CURSO]],"mmmm")</f>
        <v>junio</v>
      </c>
      <c r="J221" s="6">
        <f>YEAR(Tabla1[[#This Row],[FECHA CURSO]])</f>
        <v>2020</v>
      </c>
      <c r="K221" s="5" t="s">
        <v>19</v>
      </c>
      <c r="L221" s="3" t="s">
        <v>20</v>
      </c>
      <c r="M221" s="4">
        <v>56.25</v>
      </c>
      <c r="N221" s="3" t="s">
        <v>21</v>
      </c>
      <c r="O221" s="2" t="s">
        <v>30</v>
      </c>
      <c r="P221" s="2" t="s">
        <v>104</v>
      </c>
      <c r="Q221" s="2" t="s">
        <v>41</v>
      </c>
    </row>
    <row r="222" spans="1:17" x14ac:dyDescent="0.25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tr">
        <f>TEXT(Tabla1[[#This Row],[FECHA CURSO]],"mmmm")</f>
        <v>agosto</v>
      </c>
      <c r="J222" s="6">
        <f>YEAR(Tabla1[[#This Row],[FECHA CURSO]])</f>
        <v>2020</v>
      </c>
      <c r="K222" s="5" t="s">
        <v>19</v>
      </c>
      <c r="L222" s="3" t="s">
        <v>29</v>
      </c>
      <c r="M222" s="4">
        <v>31.25</v>
      </c>
      <c r="N222" s="3" t="s">
        <v>21</v>
      </c>
      <c r="O222" s="2" t="s">
        <v>22</v>
      </c>
      <c r="P222" s="2" t="s">
        <v>73</v>
      </c>
      <c r="Q222" s="2" t="s">
        <v>21</v>
      </c>
    </row>
    <row r="223" spans="1:17" x14ac:dyDescent="0.25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tr">
        <f>TEXT(Tabla1[[#This Row],[FECHA CURSO]],"mmmm")</f>
        <v>agosto</v>
      </c>
      <c r="J223" s="6">
        <f>YEAR(Tabla1[[#This Row],[FECHA CURSO]])</f>
        <v>2021</v>
      </c>
      <c r="K223" s="5" t="s">
        <v>19</v>
      </c>
      <c r="L223" s="3" t="s">
        <v>36</v>
      </c>
      <c r="M223" s="4">
        <v>25</v>
      </c>
      <c r="N223" s="3" t="s">
        <v>21</v>
      </c>
      <c r="O223" s="2" t="s">
        <v>30</v>
      </c>
      <c r="P223" s="2" t="s">
        <v>104</v>
      </c>
      <c r="Q223" s="2" t="s">
        <v>21</v>
      </c>
    </row>
    <row r="224" spans="1:17" x14ac:dyDescent="0.25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tr">
        <f>TEXT(Tabla1[[#This Row],[FECHA CURSO]],"mmmm")</f>
        <v>diciembre</v>
      </c>
      <c r="J224" s="6">
        <f>YEAR(Tabla1[[#This Row],[FECHA CURSO]])</f>
        <v>2019</v>
      </c>
      <c r="K224" s="5" t="s">
        <v>19</v>
      </c>
      <c r="L224" s="3" t="s">
        <v>20</v>
      </c>
      <c r="M224" s="4">
        <v>12.5</v>
      </c>
      <c r="N224" s="3" t="s">
        <v>21</v>
      </c>
      <c r="O224" s="2" t="s">
        <v>45</v>
      </c>
      <c r="P224" s="2" t="s">
        <v>46</v>
      </c>
      <c r="Q224" s="2" t="s">
        <v>41</v>
      </c>
    </row>
    <row r="225" spans="1:17" x14ac:dyDescent="0.25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tr">
        <f>TEXT(Tabla1[[#This Row],[FECHA CURSO]],"mmmm")</f>
        <v>mayo</v>
      </c>
      <c r="J225" s="6">
        <f>YEAR(Tabla1[[#This Row],[FECHA CURSO]])</f>
        <v>2021</v>
      </c>
      <c r="K225" s="5" t="s">
        <v>28</v>
      </c>
      <c r="L225" s="3" t="s">
        <v>29</v>
      </c>
      <c r="M225" s="4">
        <v>135</v>
      </c>
      <c r="N225" s="3" t="s">
        <v>21</v>
      </c>
      <c r="O225" s="2" t="s">
        <v>22</v>
      </c>
      <c r="P225" s="2" t="s">
        <v>73</v>
      </c>
      <c r="Q225" s="2" t="s">
        <v>21</v>
      </c>
    </row>
    <row r="226" spans="1:17" x14ac:dyDescent="0.25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tr">
        <f>TEXT(Tabla1[[#This Row],[FECHA CURSO]],"mmmm")</f>
        <v>enero</v>
      </c>
      <c r="J226" s="6">
        <f>YEAR(Tabla1[[#This Row],[FECHA CURSO]])</f>
        <v>2021</v>
      </c>
      <c r="K226" s="5" t="s">
        <v>28</v>
      </c>
      <c r="L226" s="3" t="s">
        <v>36</v>
      </c>
      <c r="M226" s="4">
        <v>108</v>
      </c>
      <c r="N226" s="3" t="s">
        <v>21</v>
      </c>
      <c r="O226" s="2" t="s">
        <v>22</v>
      </c>
      <c r="P226" s="2" t="s">
        <v>73</v>
      </c>
      <c r="Q226" s="2" t="s">
        <v>21</v>
      </c>
    </row>
    <row r="227" spans="1:17" x14ac:dyDescent="0.25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tr">
        <f>TEXT(Tabla1[[#This Row],[FECHA CURSO]],"mmmm")</f>
        <v>junio</v>
      </c>
      <c r="J227" s="6">
        <f>YEAR(Tabla1[[#This Row],[FECHA CURSO]])</f>
        <v>2019</v>
      </c>
      <c r="K227" s="5" t="s">
        <v>28</v>
      </c>
      <c r="L227" s="3" t="s">
        <v>40</v>
      </c>
      <c r="M227" s="4">
        <v>144</v>
      </c>
      <c r="N227" s="3" t="s">
        <v>21</v>
      </c>
      <c r="O227" s="2" t="s">
        <v>45</v>
      </c>
      <c r="P227" s="2" t="s">
        <v>46</v>
      </c>
      <c r="Q227" s="2" t="s">
        <v>41</v>
      </c>
    </row>
    <row r="228" spans="1:17" x14ac:dyDescent="0.25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tr">
        <f>TEXT(Tabla1[[#This Row],[FECHA CURSO]],"mmmm")</f>
        <v>abril</v>
      </c>
      <c r="J228" s="6">
        <f>YEAR(Tabla1[[#This Row],[FECHA CURSO]])</f>
        <v>2019</v>
      </c>
      <c r="K228" s="5" t="s">
        <v>28</v>
      </c>
      <c r="L228" s="3" t="s">
        <v>20</v>
      </c>
      <c r="M228" s="4">
        <v>180</v>
      </c>
      <c r="N228" s="3" t="s">
        <v>21</v>
      </c>
      <c r="O228" s="2" t="s">
        <v>45</v>
      </c>
      <c r="P228" s="2" t="s">
        <v>46</v>
      </c>
      <c r="Q228" s="2" t="s">
        <v>21</v>
      </c>
    </row>
    <row r="229" spans="1:17" x14ac:dyDescent="0.25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tr">
        <f>TEXT(Tabla1[[#This Row],[FECHA CURSO]],"mmmm")</f>
        <v>mayo</v>
      </c>
      <c r="J229" s="6">
        <f>YEAR(Tabla1[[#This Row],[FECHA CURSO]])</f>
        <v>2019</v>
      </c>
      <c r="K229" s="5" t="s">
        <v>57</v>
      </c>
      <c r="L229" s="3" t="s">
        <v>29</v>
      </c>
      <c r="M229" s="4">
        <v>120</v>
      </c>
      <c r="N229" s="3" t="s">
        <v>21</v>
      </c>
      <c r="O229" s="2" t="s">
        <v>22</v>
      </c>
      <c r="P229" s="2" t="s">
        <v>73</v>
      </c>
      <c r="Q229" s="2" t="s">
        <v>21</v>
      </c>
    </row>
    <row r="230" spans="1:17" x14ac:dyDescent="0.25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tr">
        <f>TEXT(Tabla1[[#This Row],[FECHA CURSO]],"mmmm")</f>
        <v>junio</v>
      </c>
      <c r="J230" s="6">
        <f>YEAR(Tabla1[[#This Row],[FECHA CURSO]])</f>
        <v>2019</v>
      </c>
      <c r="K230" s="5" t="s">
        <v>57</v>
      </c>
      <c r="L230" s="3" t="s">
        <v>36</v>
      </c>
      <c r="M230" s="4">
        <v>160</v>
      </c>
      <c r="N230" s="3" t="s">
        <v>41</v>
      </c>
      <c r="O230" s="2" t="s">
        <v>30</v>
      </c>
      <c r="P230" s="2" t="s">
        <v>104</v>
      </c>
      <c r="Q230" s="2" t="s">
        <v>21</v>
      </c>
    </row>
    <row r="231" spans="1:17" x14ac:dyDescent="0.25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tr">
        <f>TEXT(Tabla1[[#This Row],[FECHA CURSO]],"mmmm")</f>
        <v>febrero</v>
      </c>
      <c r="J231" s="6">
        <f>YEAR(Tabla1[[#This Row],[FECHA CURSO]])</f>
        <v>2019</v>
      </c>
      <c r="K231" s="5" t="s">
        <v>57</v>
      </c>
      <c r="L231" s="3" t="s">
        <v>40</v>
      </c>
      <c r="M231" s="4">
        <v>140</v>
      </c>
      <c r="N231" s="3" t="s">
        <v>41</v>
      </c>
      <c r="O231" s="2" t="s">
        <v>45</v>
      </c>
      <c r="P231" s="2" t="s">
        <v>46</v>
      </c>
      <c r="Q231" s="2" t="s">
        <v>21</v>
      </c>
    </row>
    <row r="232" spans="1:17" x14ac:dyDescent="0.25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tr">
        <f>TEXT(Tabla1[[#This Row],[FECHA CURSO]],"mmmm")</f>
        <v>octubre</v>
      </c>
      <c r="J232" s="6">
        <f>YEAR(Tabla1[[#This Row],[FECHA CURSO]])</f>
        <v>2019</v>
      </c>
      <c r="K232" s="5" t="s">
        <v>28</v>
      </c>
      <c r="L232" s="3" t="s">
        <v>29</v>
      </c>
      <c r="M232" s="4">
        <v>180</v>
      </c>
      <c r="N232" s="3" t="s">
        <v>41</v>
      </c>
      <c r="O232" s="2" t="s">
        <v>45</v>
      </c>
      <c r="P232" s="2" t="s">
        <v>46</v>
      </c>
      <c r="Q232" s="2" t="s">
        <v>21</v>
      </c>
    </row>
    <row r="233" spans="1:17" x14ac:dyDescent="0.25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tr">
        <f>TEXT(Tabla1[[#This Row],[FECHA CURSO]],"mmmm")</f>
        <v>enero</v>
      </c>
      <c r="J233" s="6">
        <f>YEAR(Tabla1[[#This Row],[FECHA CURSO]])</f>
        <v>2019</v>
      </c>
      <c r="K233" s="5" t="s">
        <v>28</v>
      </c>
      <c r="L233" s="3" t="s">
        <v>36</v>
      </c>
      <c r="M233" s="4">
        <v>43.2</v>
      </c>
      <c r="N233" s="3" t="s">
        <v>41</v>
      </c>
      <c r="O233" s="2" t="s">
        <v>22</v>
      </c>
      <c r="P233" s="2" t="s">
        <v>73</v>
      </c>
      <c r="Q233" s="2" t="s">
        <v>21</v>
      </c>
    </row>
    <row r="234" spans="1:17" x14ac:dyDescent="0.25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tr">
        <f>TEXT(Tabla1[[#This Row],[FECHA CURSO]],"mmmm")</f>
        <v>septiembre</v>
      </c>
      <c r="J234" s="6">
        <f>YEAR(Tabla1[[#This Row],[FECHA CURSO]])</f>
        <v>2020</v>
      </c>
      <c r="K234" s="5" t="s">
        <v>28</v>
      </c>
      <c r="L234" s="3" t="s">
        <v>40</v>
      </c>
      <c r="M234" s="4">
        <v>24</v>
      </c>
      <c r="N234" s="3" t="s">
        <v>21</v>
      </c>
      <c r="O234" s="2" t="s">
        <v>22</v>
      </c>
      <c r="P234" s="2" t="s">
        <v>73</v>
      </c>
      <c r="Q234" s="2" t="s">
        <v>21</v>
      </c>
    </row>
    <row r="235" spans="1:17" x14ac:dyDescent="0.25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tr">
        <f>TEXT(Tabla1[[#This Row],[FECHA CURSO]],"mmmm")</f>
        <v>agosto</v>
      </c>
      <c r="J235" s="6">
        <f>YEAR(Tabla1[[#This Row],[FECHA CURSO]])</f>
        <v>2019</v>
      </c>
      <c r="K235" s="5" t="s">
        <v>28</v>
      </c>
      <c r="L235" s="3" t="s">
        <v>20</v>
      </c>
      <c r="M235" s="4">
        <v>108</v>
      </c>
      <c r="N235" s="3" t="s">
        <v>21</v>
      </c>
      <c r="O235" s="2" t="s">
        <v>22</v>
      </c>
      <c r="P235" s="2" t="s">
        <v>101</v>
      </c>
      <c r="Q235" s="2" t="s">
        <v>21</v>
      </c>
    </row>
    <row r="236" spans="1:17" x14ac:dyDescent="0.25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tr">
        <f>TEXT(Tabla1[[#This Row],[FECHA CURSO]],"mmmm")</f>
        <v>marzo</v>
      </c>
      <c r="J236" s="6">
        <f>YEAR(Tabla1[[#This Row],[FECHA CURSO]])</f>
        <v>2019</v>
      </c>
      <c r="K236" s="5" t="s">
        <v>57</v>
      </c>
      <c r="L236" s="3" t="s">
        <v>29</v>
      </c>
      <c r="M236" s="4">
        <v>43.75</v>
      </c>
      <c r="N236" s="3" t="s">
        <v>21</v>
      </c>
      <c r="O236" s="2" t="s">
        <v>45</v>
      </c>
      <c r="P236" s="2" t="s">
        <v>46</v>
      </c>
      <c r="Q236" s="2" t="s">
        <v>21</v>
      </c>
    </row>
    <row r="237" spans="1:17" x14ac:dyDescent="0.25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tr">
        <f>TEXT(Tabla1[[#This Row],[FECHA CURSO]],"mmmm")</f>
        <v>mayo</v>
      </c>
      <c r="J237" s="6">
        <f>YEAR(Tabla1[[#This Row],[FECHA CURSO]])</f>
        <v>2020</v>
      </c>
      <c r="K237" s="5" t="s">
        <v>57</v>
      </c>
      <c r="L237" s="3" t="s">
        <v>36</v>
      </c>
      <c r="M237" s="4">
        <v>35</v>
      </c>
      <c r="N237" s="3" t="s">
        <v>21</v>
      </c>
      <c r="O237" s="2" t="s">
        <v>45</v>
      </c>
      <c r="P237" s="2" t="s">
        <v>46</v>
      </c>
      <c r="Q237" s="2" t="s">
        <v>21</v>
      </c>
    </row>
    <row r="238" spans="1:17" x14ac:dyDescent="0.25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tr">
        <f>TEXT(Tabla1[[#This Row],[FECHA CURSO]],"mmmm")</f>
        <v>agosto</v>
      </c>
      <c r="J238" s="6">
        <f>YEAR(Tabla1[[#This Row],[FECHA CURSO]])</f>
        <v>2019</v>
      </c>
      <c r="K238" s="5" t="s">
        <v>57</v>
      </c>
      <c r="L238" s="3" t="s">
        <v>20</v>
      </c>
      <c r="M238" s="4">
        <v>17.5</v>
      </c>
      <c r="N238" s="3" t="s">
        <v>21</v>
      </c>
      <c r="O238" s="2" t="s">
        <v>22</v>
      </c>
      <c r="P238" s="2" t="s">
        <v>101</v>
      </c>
      <c r="Q238" s="2" t="s">
        <v>21</v>
      </c>
    </row>
    <row r="239" spans="1:17" x14ac:dyDescent="0.25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tr">
        <f>TEXT(Tabla1[[#This Row],[FECHA CURSO]],"mmmm")</f>
        <v>abril</v>
      </c>
      <c r="J239" s="6">
        <f>YEAR(Tabla1[[#This Row],[FECHA CURSO]])</f>
        <v>2019</v>
      </c>
      <c r="K239" s="5" t="s">
        <v>57</v>
      </c>
      <c r="L239" s="3" t="s">
        <v>29</v>
      </c>
      <c r="M239" s="4">
        <v>15</v>
      </c>
      <c r="N239" s="3" t="s">
        <v>21</v>
      </c>
      <c r="O239" s="2" t="s">
        <v>22</v>
      </c>
      <c r="P239" s="2" t="s">
        <v>101</v>
      </c>
      <c r="Q239" s="2" t="s">
        <v>21</v>
      </c>
    </row>
    <row r="240" spans="1:17" x14ac:dyDescent="0.25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tr">
        <f>TEXT(Tabla1[[#This Row],[FECHA CURSO]],"mmmm")</f>
        <v>diciembre</v>
      </c>
      <c r="J240" s="6">
        <f>YEAR(Tabla1[[#This Row],[FECHA CURSO]])</f>
        <v>2020</v>
      </c>
      <c r="K240" s="5" t="s">
        <v>57</v>
      </c>
      <c r="L240" s="3" t="s">
        <v>36</v>
      </c>
      <c r="M240" s="4">
        <v>168.75</v>
      </c>
      <c r="N240" s="3" t="s">
        <v>21</v>
      </c>
      <c r="O240" s="2" t="s">
        <v>22</v>
      </c>
      <c r="P240" s="2" t="s">
        <v>101</v>
      </c>
      <c r="Q240" s="2" t="s">
        <v>21</v>
      </c>
    </row>
    <row r="241" spans="1:17" x14ac:dyDescent="0.25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tr">
        <f>TEXT(Tabla1[[#This Row],[FECHA CURSO]],"mmmm")</f>
        <v>diciembre</v>
      </c>
      <c r="J241" s="6">
        <f>YEAR(Tabla1[[#This Row],[FECHA CURSO]])</f>
        <v>2020</v>
      </c>
      <c r="K241" s="5" t="s">
        <v>28</v>
      </c>
      <c r="L241" s="3" t="s">
        <v>40</v>
      </c>
      <c r="M241" s="4">
        <v>144</v>
      </c>
      <c r="N241" s="3" t="s">
        <v>41</v>
      </c>
      <c r="O241" s="2" t="s">
        <v>45</v>
      </c>
      <c r="P241" s="2" t="s">
        <v>46</v>
      </c>
      <c r="Q241" s="2" t="s">
        <v>41</v>
      </c>
    </row>
    <row r="242" spans="1:17" x14ac:dyDescent="0.25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tr">
        <f>TEXT(Tabla1[[#This Row],[FECHA CURSO]],"mmmm")</f>
        <v>agosto</v>
      </c>
      <c r="J242" s="6">
        <f>YEAR(Tabla1[[#This Row],[FECHA CURSO]])</f>
        <v>2021</v>
      </c>
      <c r="K242" s="5" t="s">
        <v>19</v>
      </c>
      <c r="L242" s="3" t="s">
        <v>20</v>
      </c>
      <c r="M242" s="4">
        <v>180</v>
      </c>
      <c r="N242" s="3" t="s">
        <v>41</v>
      </c>
      <c r="O242" s="2" t="s">
        <v>30</v>
      </c>
      <c r="P242" s="2" t="s">
        <v>104</v>
      </c>
      <c r="Q242" s="2" t="s">
        <v>21</v>
      </c>
    </row>
    <row r="243" spans="1:17" x14ac:dyDescent="0.25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tr">
        <f>TEXT(Tabla1[[#This Row],[FECHA CURSO]],"mmmm")</f>
        <v>marzo</v>
      </c>
      <c r="J243" s="6">
        <f>YEAR(Tabla1[[#This Row],[FECHA CURSO]])</f>
        <v>2019</v>
      </c>
      <c r="K243" s="5" t="s">
        <v>28</v>
      </c>
      <c r="L243" s="3" t="s">
        <v>29</v>
      </c>
      <c r="M243" s="4">
        <v>216</v>
      </c>
      <c r="N243" s="3" t="s">
        <v>21</v>
      </c>
      <c r="O243" s="2" t="s">
        <v>45</v>
      </c>
      <c r="P243" s="2" t="s">
        <v>82</v>
      </c>
      <c r="Q243" s="2" t="s">
        <v>21</v>
      </c>
    </row>
    <row r="244" spans="1:17" x14ac:dyDescent="0.25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tr">
        <f>TEXT(Tabla1[[#This Row],[FECHA CURSO]],"mmmm")</f>
        <v>septiembre</v>
      </c>
      <c r="J244" s="6">
        <f>YEAR(Tabla1[[#This Row],[FECHA CURSO]])</f>
        <v>2021</v>
      </c>
      <c r="K244" s="5" t="s">
        <v>19</v>
      </c>
      <c r="L244" s="3" t="s">
        <v>36</v>
      </c>
      <c r="M244" s="4">
        <v>160</v>
      </c>
      <c r="N244" s="3" t="s">
        <v>41</v>
      </c>
      <c r="O244" s="2" t="s">
        <v>22</v>
      </c>
      <c r="P244" s="2" t="s">
        <v>101</v>
      </c>
      <c r="Q244" s="2" t="s">
        <v>21</v>
      </c>
    </row>
    <row r="245" spans="1:17" x14ac:dyDescent="0.25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tr">
        <f>TEXT(Tabla1[[#This Row],[FECHA CURSO]],"mmmm")</f>
        <v>mayo</v>
      </c>
      <c r="J245" s="6">
        <f>YEAR(Tabla1[[#This Row],[FECHA CURSO]])</f>
        <v>2020</v>
      </c>
      <c r="K245" s="5" t="s">
        <v>19</v>
      </c>
      <c r="L245" s="3" t="s">
        <v>40</v>
      </c>
      <c r="M245" s="4">
        <v>140</v>
      </c>
      <c r="N245" s="3" t="s">
        <v>21</v>
      </c>
      <c r="O245" s="2" t="s">
        <v>30</v>
      </c>
      <c r="P245" s="2" t="s">
        <v>104</v>
      </c>
      <c r="Q245" s="2" t="s">
        <v>21</v>
      </c>
    </row>
    <row r="246" spans="1:17" x14ac:dyDescent="0.25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tr">
        <f>TEXT(Tabla1[[#This Row],[FECHA CURSO]],"mmmm")</f>
        <v>diciembre</v>
      </c>
      <c r="J246" s="6">
        <f>YEAR(Tabla1[[#This Row],[FECHA CURSO]])</f>
        <v>2020</v>
      </c>
      <c r="K246" s="5" t="s">
        <v>19</v>
      </c>
      <c r="L246" s="3" t="s">
        <v>29</v>
      </c>
      <c r="M246" s="4">
        <v>180</v>
      </c>
      <c r="N246" s="3" t="s">
        <v>21</v>
      </c>
      <c r="O246" s="2" t="s">
        <v>45</v>
      </c>
      <c r="P246" s="2" t="s">
        <v>82</v>
      </c>
      <c r="Q246" s="2" t="s">
        <v>21</v>
      </c>
    </row>
    <row r="247" spans="1:17" x14ac:dyDescent="0.25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tr">
        <f>TEXT(Tabla1[[#This Row],[FECHA CURSO]],"mmmm")</f>
        <v>febrero</v>
      </c>
      <c r="J247" s="6">
        <f>YEAR(Tabla1[[#This Row],[FECHA CURSO]])</f>
        <v>2020</v>
      </c>
      <c r="K247" s="5" t="s">
        <v>19</v>
      </c>
      <c r="L247" s="3" t="s">
        <v>36</v>
      </c>
      <c r="M247" s="4">
        <v>72</v>
      </c>
      <c r="N247" s="3" t="s">
        <v>21</v>
      </c>
      <c r="O247" s="2" t="s">
        <v>30</v>
      </c>
      <c r="P247" s="2" t="s">
        <v>104</v>
      </c>
      <c r="Q247" s="2" t="s">
        <v>21</v>
      </c>
    </row>
    <row r="248" spans="1:17" x14ac:dyDescent="0.25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tr">
        <f>TEXT(Tabla1[[#This Row],[FECHA CURSO]],"mmmm")</f>
        <v>julio</v>
      </c>
      <c r="J248" s="6">
        <f>YEAR(Tabla1[[#This Row],[FECHA CURSO]])</f>
        <v>2021</v>
      </c>
      <c r="K248" s="5" t="s">
        <v>28</v>
      </c>
      <c r="L248" s="3" t="s">
        <v>40</v>
      </c>
      <c r="M248" s="4">
        <v>24</v>
      </c>
      <c r="N248" s="3" t="s">
        <v>21</v>
      </c>
      <c r="O248" s="2" t="s">
        <v>22</v>
      </c>
      <c r="P248" s="2" t="s">
        <v>101</v>
      </c>
      <c r="Q248" s="2" t="s">
        <v>21</v>
      </c>
    </row>
    <row r="249" spans="1:17" x14ac:dyDescent="0.25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tr">
        <f>TEXT(Tabla1[[#This Row],[FECHA CURSO]],"mmmm")</f>
        <v>mayo</v>
      </c>
      <c r="J249" s="6">
        <f>YEAR(Tabla1[[#This Row],[FECHA CURSO]])</f>
        <v>2020</v>
      </c>
      <c r="K249" s="5" t="s">
        <v>28</v>
      </c>
      <c r="L249" s="3" t="s">
        <v>20</v>
      </c>
      <c r="M249" s="4">
        <v>28.8</v>
      </c>
      <c r="N249" s="3" t="s">
        <v>21</v>
      </c>
      <c r="O249" s="2" t="s">
        <v>30</v>
      </c>
      <c r="P249" s="2" t="s">
        <v>104</v>
      </c>
      <c r="Q249" s="2" t="s">
        <v>21</v>
      </c>
    </row>
    <row r="250" spans="1:17" x14ac:dyDescent="0.25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tr">
        <f>TEXT(Tabla1[[#This Row],[FECHA CURSO]],"mmmm")</f>
        <v>enero</v>
      </c>
      <c r="J250" s="6">
        <f>YEAR(Tabla1[[#This Row],[FECHA CURSO]])</f>
        <v>2021</v>
      </c>
      <c r="K250" s="5" t="s">
        <v>28</v>
      </c>
      <c r="L250" s="3" t="s">
        <v>29</v>
      </c>
      <c r="M250" s="4">
        <v>36</v>
      </c>
      <c r="N250" s="3" t="s">
        <v>21</v>
      </c>
      <c r="O250" s="2" t="s">
        <v>45</v>
      </c>
      <c r="P250" s="2" t="s">
        <v>82</v>
      </c>
      <c r="Q250" s="2" t="s">
        <v>21</v>
      </c>
    </row>
    <row r="251" spans="1:17" x14ac:dyDescent="0.25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tr">
        <f>TEXT(Tabla1[[#This Row],[FECHA CURSO]],"mmmm")</f>
        <v>diciembre</v>
      </c>
      <c r="J251" s="6">
        <f>YEAR(Tabla1[[#This Row],[FECHA CURSO]])</f>
        <v>2019</v>
      </c>
      <c r="K251" s="5" t="s">
        <v>28</v>
      </c>
      <c r="L251" s="3" t="s">
        <v>36</v>
      </c>
      <c r="M251" s="4">
        <v>43.75</v>
      </c>
      <c r="N251" s="3" t="s">
        <v>21</v>
      </c>
      <c r="O251" s="2" t="s">
        <v>22</v>
      </c>
      <c r="P251" s="2" t="s">
        <v>101</v>
      </c>
      <c r="Q251" s="2" t="s">
        <v>21</v>
      </c>
    </row>
    <row r="252" spans="1:17" x14ac:dyDescent="0.25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tr">
        <f>TEXT(Tabla1[[#This Row],[FECHA CURSO]],"mmmm")</f>
        <v>diciembre</v>
      </c>
      <c r="J252" s="6">
        <f>YEAR(Tabla1[[#This Row],[FECHA CURSO]])</f>
        <v>2019</v>
      </c>
      <c r="K252" s="5" t="s">
        <v>57</v>
      </c>
      <c r="L252" s="3" t="s">
        <v>20</v>
      </c>
      <c r="M252" s="4">
        <v>26.25</v>
      </c>
      <c r="N252" s="3" t="s">
        <v>21</v>
      </c>
      <c r="O252" s="2" t="s">
        <v>30</v>
      </c>
      <c r="P252" s="2" t="s">
        <v>104</v>
      </c>
      <c r="Q252" s="2" t="s">
        <v>21</v>
      </c>
    </row>
    <row r="253" spans="1:17" x14ac:dyDescent="0.25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tr">
        <f>TEXT(Tabla1[[#This Row],[FECHA CURSO]],"mmmm")</f>
        <v>marzo</v>
      </c>
      <c r="J253" s="6">
        <f>YEAR(Tabla1[[#This Row],[FECHA CURSO]])</f>
        <v>2021</v>
      </c>
      <c r="K253" s="5" t="s">
        <v>57</v>
      </c>
      <c r="L253" s="3" t="s">
        <v>29</v>
      </c>
      <c r="M253" s="4">
        <v>17.5</v>
      </c>
      <c r="N253" s="3" t="s">
        <v>21</v>
      </c>
      <c r="O253" s="2" t="s">
        <v>22</v>
      </c>
      <c r="P253" s="2" t="s">
        <v>101</v>
      </c>
      <c r="Q253" s="2" t="s">
        <v>21</v>
      </c>
    </row>
    <row r="254" spans="1:17" x14ac:dyDescent="0.25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tr">
        <f>TEXT(Tabla1[[#This Row],[FECHA CURSO]],"mmmm")</f>
        <v>junio</v>
      </c>
      <c r="J254" s="6">
        <f>YEAR(Tabla1[[#This Row],[FECHA CURSO]])</f>
        <v>2021</v>
      </c>
      <c r="K254" s="5" t="s">
        <v>57</v>
      </c>
      <c r="L254" s="3" t="s">
        <v>36</v>
      </c>
      <c r="M254" s="4">
        <v>21</v>
      </c>
      <c r="N254" s="3" t="s">
        <v>21</v>
      </c>
      <c r="O254" s="2" t="s">
        <v>30</v>
      </c>
      <c r="P254" s="2" t="s">
        <v>104</v>
      </c>
      <c r="Q254" s="2" t="s">
        <v>21</v>
      </c>
    </row>
    <row r="255" spans="1:17" x14ac:dyDescent="0.25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tr">
        <f>TEXT(Tabla1[[#This Row],[FECHA CURSO]],"mmmm")</f>
        <v>noviembre</v>
      </c>
      <c r="J255" s="6">
        <f>YEAR(Tabla1[[#This Row],[FECHA CURSO]])</f>
        <v>2019</v>
      </c>
      <c r="K255" s="5" t="s">
        <v>28</v>
      </c>
      <c r="L255" s="3" t="s">
        <v>40</v>
      </c>
      <c r="M255" s="4">
        <v>36</v>
      </c>
      <c r="N255" s="3" t="s">
        <v>21</v>
      </c>
      <c r="O255" s="2" t="s">
        <v>45</v>
      </c>
      <c r="P255" s="2" t="s">
        <v>82</v>
      </c>
      <c r="Q255" s="2" t="s">
        <v>21</v>
      </c>
    </row>
    <row r="256" spans="1:17" x14ac:dyDescent="0.25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tr">
        <f>TEXT(Tabla1[[#This Row],[FECHA CURSO]],"mmmm")</f>
        <v>septiembre</v>
      </c>
      <c r="J256" s="6">
        <f>YEAR(Tabla1[[#This Row],[FECHA CURSO]])</f>
        <v>2021</v>
      </c>
      <c r="K256" s="5" t="s">
        <v>28</v>
      </c>
      <c r="L256" s="3" t="s">
        <v>29</v>
      </c>
      <c r="M256" s="4">
        <v>100</v>
      </c>
      <c r="N256" s="3" t="s">
        <v>21</v>
      </c>
      <c r="O256" s="2" t="s">
        <v>30</v>
      </c>
      <c r="P256" s="2" t="s">
        <v>104</v>
      </c>
      <c r="Q256" s="2" t="s">
        <v>21</v>
      </c>
    </row>
    <row r="257" spans="1:17" x14ac:dyDescent="0.25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tr">
        <f>TEXT(Tabla1[[#This Row],[FECHA CURSO]],"mmmm")</f>
        <v>julio</v>
      </c>
      <c r="J257" s="6">
        <f>YEAR(Tabla1[[#This Row],[FECHA CURSO]])</f>
        <v>2021</v>
      </c>
      <c r="K257" s="5" t="s">
        <v>28</v>
      </c>
      <c r="L257" s="3" t="s">
        <v>36</v>
      </c>
      <c r="M257" s="4">
        <v>26.25</v>
      </c>
      <c r="N257" s="3" t="s">
        <v>21</v>
      </c>
      <c r="O257" s="2" t="s">
        <v>22</v>
      </c>
      <c r="P257" s="2" t="s">
        <v>101</v>
      </c>
      <c r="Q257" s="2" t="s">
        <v>21</v>
      </c>
    </row>
    <row r="258" spans="1:17" x14ac:dyDescent="0.25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tr">
        <f>TEXT(Tabla1[[#This Row],[FECHA CURSO]],"mmmm")</f>
        <v>agosto</v>
      </c>
      <c r="J258" s="6">
        <f>YEAR(Tabla1[[#This Row],[FECHA CURSO]])</f>
        <v>2020</v>
      </c>
      <c r="K258" s="5" t="s">
        <v>28</v>
      </c>
      <c r="L258" s="3" t="s">
        <v>40</v>
      </c>
      <c r="M258" s="4">
        <v>35</v>
      </c>
      <c r="N258" s="3" t="s">
        <v>41</v>
      </c>
      <c r="O258" s="2" t="s">
        <v>30</v>
      </c>
      <c r="P258" s="2" t="s">
        <v>104</v>
      </c>
      <c r="Q258" s="2" t="s">
        <v>21</v>
      </c>
    </row>
    <row r="259" spans="1:17" x14ac:dyDescent="0.25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tr">
        <f>TEXT(Tabla1[[#This Row],[FECHA CURSO]],"mmmm")</f>
        <v>mayo</v>
      </c>
      <c r="J259" s="6">
        <f>YEAR(Tabla1[[#This Row],[FECHA CURSO]])</f>
        <v>2021</v>
      </c>
      <c r="K259" s="5" t="s">
        <v>57</v>
      </c>
      <c r="L259" s="3" t="s">
        <v>20</v>
      </c>
      <c r="M259" s="4">
        <v>35</v>
      </c>
      <c r="N259" s="3" t="s">
        <v>41</v>
      </c>
      <c r="O259" s="2" t="s">
        <v>45</v>
      </c>
      <c r="P259" s="2" t="s">
        <v>82</v>
      </c>
      <c r="Q259" s="2" t="s">
        <v>21</v>
      </c>
    </row>
    <row r="260" spans="1:17" x14ac:dyDescent="0.25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tr">
        <f>TEXT(Tabla1[[#This Row],[FECHA CURSO]],"mmmm")</f>
        <v>octubre</v>
      </c>
      <c r="J260" s="6">
        <f>YEAR(Tabla1[[#This Row],[FECHA CURSO]])</f>
        <v>2021</v>
      </c>
      <c r="K260" s="5" t="s">
        <v>57</v>
      </c>
      <c r="L260" s="3" t="s">
        <v>29</v>
      </c>
      <c r="M260" s="4">
        <v>72</v>
      </c>
      <c r="N260" s="3" t="s">
        <v>41</v>
      </c>
      <c r="O260" s="2" t="s">
        <v>22</v>
      </c>
      <c r="P260" s="2" t="s">
        <v>101</v>
      </c>
      <c r="Q260" s="2" t="s">
        <v>21</v>
      </c>
    </row>
    <row r="261" spans="1:17" x14ac:dyDescent="0.25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tr">
        <f>TEXT(Tabla1[[#This Row],[FECHA CURSO]],"mmmm")</f>
        <v>junio</v>
      </c>
      <c r="J261" s="6">
        <f>YEAR(Tabla1[[#This Row],[FECHA CURSO]])</f>
        <v>2021</v>
      </c>
      <c r="K261" s="5" t="s">
        <v>57</v>
      </c>
      <c r="L261" s="3" t="s">
        <v>36</v>
      </c>
      <c r="M261" s="4">
        <v>84</v>
      </c>
      <c r="N261" s="3" t="s">
        <v>21</v>
      </c>
      <c r="O261" s="2" t="s">
        <v>22</v>
      </c>
      <c r="P261" s="2" t="s">
        <v>101</v>
      </c>
      <c r="Q261" s="2" t="s">
        <v>21</v>
      </c>
    </row>
    <row r="262" spans="1:17" x14ac:dyDescent="0.25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tr">
        <f>TEXT(Tabla1[[#This Row],[FECHA CURSO]],"mmmm")</f>
        <v>enero</v>
      </c>
      <c r="J262" s="6">
        <f>YEAR(Tabla1[[#This Row],[FECHA CURSO]])</f>
        <v>2019</v>
      </c>
      <c r="K262" s="5" t="s">
        <v>57</v>
      </c>
      <c r="L262" s="3" t="s">
        <v>20</v>
      </c>
      <c r="M262" s="4">
        <v>96</v>
      </c>
      <c r="N262" s="3" t="s">
        <v>41</v>
      </c>
      <c r="O262" s="2" t="s">
        <v>45</v>
      </c>
      <c r="P262" s="2" t="s">
        <v>82</v>
      </c>
      <c r="Q262" s="2" t="s">
        <v>41</v>
      </c>
    </row>
    <row r="263" spans="1:17" x14ac:dyDescent="0.25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tr">
        <f>TEXT(Tabla1[[#This Row],[FECHA CURSO]],"mmmm")</f>
        <v>febrero</v>
      </c>
      <c r="J263" s="6">
        <f>YEAR(Tabla1[[#This Row],[FECHA CURSO]])</f>
        <v>2020</v>
      </c>
      <c r="K263" s="5" t="s">
        <v>57</v>
      </c>
      <c r="L263" s="3" t="s">
        <v>29</v>
      </c>
      <c r="M263" s="4">
        <v>22.5</v>
      </c>
      <c r="N263" s="3" t="s">
        <v>41</v>
      </c>
      <c r="O263" s="2" t="s">
        <v>45</v>
      </c>
      <c r="P263" s="2" t="s">
        <v>82</v>
      </c>
      <c r="Q263" s="2" t="s">
        <v>21</v>
      </c>
    </row>
    <row r="264" spans="1:17" x14ac:dyDescent="0.25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tr">
        <f>TEXT(Tabla1[[#This Row],[FECHA CURSO]],"mmmm")</f>
        <v>marzo</v>
      </c>
      <c r="J264" s="6">
        <f>YEAR(Tabla1[[#This Row],[FECHA CURSO]])</f>
        <v>2020</v>
      </c>
      <c r="K264" s="5" t="s">
        <v>28</v>
      </c>
      <c r="L264" s="3" t="s">
        <v>36</v>
      </c>
      <c r="M264" s="4">
        <v>12.5</v>
      </c>
      <c r="N264" s="3" t="s">
        <v>21</v>
      </c>
      <c r="O264" s="2" t="s">
        <v>22</v>
      </c>
      <c r="P264" s="2" t="s">
        <v>101</v>
      </c>
      <c r="Q264" s="2" t="s">
        <v>21</v>
      </c>
    </row>
    <row r="265" spans="1:17" x14ac:dyDescent="0.25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tr">
        <f>TEXT(Tabla1[[#This Row],[FECHA CURSO]],"mmmm")</f>
        <v>septiembre</v>
      </c>
      <c r="J265" s="6">
        <f>YEAR(Tabla1[[#This Row],[FECHA CURSO]])</f>
        <v>2019</v>
      </c>
      <c r="K265" s="5" t="s">
        <v>57</v>
      </c>
      <c r="L265" s="3" t="s">
        <v>40</v>
      </c>
      <c r="M265" s="4">
        <v>56.25</v>
      </c>
      <c r="N265" s="3" t="s">
        <v>41</v>
      </c>
      <c r="O265" s="2" t="s">
        <v>30</v>
      </c>
      <c r="P265" s="2" t="s">
        <v>104</v>
      </c>
      <c r="Q265" s="2" t="s">
        <v>21</v>
      </c>
    </row>
    <row r="266" spans="1:17" x14ac:dyDescent="0.25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tr">
        <f>TEXT(Tabla1[[#This Row],[FECHA CURSO]],"mmmm")</f>
        <v>diciembre</v>
      </c>
      <c r="J266" s="6">
        <f>YEAR(Tabla1[[#This Row],[FECHA CURSO]])</f>
        <v>2019</v>
      </c>
      <c r="K266" s="5" t="s">
        <v>57</v>
      </c>
      <c r="L266" s="3" t="s">
        <v>20</v>
      </c>
      <c r="M266" s="4">
        <v>31.25</v>
      </c>
      <c r="N266" s="3" t="s">
        <v>41</v>
      </c>
      <c r="O266" s="2" t="s">
        <v>45</v>
      </c>
      <c r="P266" s="2" t="s">
        <v>82</v>
      </c>
      <c r="Q266" s="2" t="s">
        <v>21</v>
      </c>
    </row>
    <row r="267" spans="1:17" x14ac:dyDescent="0.25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tr">
        <f>TEXT(Tabla1[[#This Row],[FECHA CURSO]],"mmmm")</f>
        <v>diciembre</v>
      </c>
      <c r="J267" s="6">
        <f>YEAR(Tabla1[[#This Row],[FECHA CURSO]])</f>
        <v>2021</v>
      </c>
      <c r="K267" s="5" t="s">
        <v>57</v>
      </c>
      <c r="L267" s="3" t="s">
        <v>29</v>
      </c>
      <c r="M267" s="4">
        <v>25</v>
      </c>
      <c r="N267" s="3" t="s">
        <v>21</v>
      </c>
      <c r="O267" s="2" t="s">
        <v>45</v>
      </c>
      <c r="P267" s="2" t="s">
        <v>82</v>
      </c>
      <c r="Q267" s="2" t="s">
        <v>21</v>
      </c>
    </row>
    <row r="268" spans="1:17" x14ac:dyDescent="0.25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tr">
        <f>TEXT(Tabla1[[#This Row],[FECHA CURSO]],"mmmm")</f>
        <v>julio</v>
      </c>
      <c r="J268" s="6">
        <f>YEAR(Tabla1[[#This Row],[FECHA CURSO]])</f>
        <v>2021</v>
      </c>
      <c r="K268" s="5" t="s">
        <v>28</v>
      </c>
      <c r="L268" s="3" t="s">
        <v>36</v>
      </c>
      <c r="M268" s="4">
        <v>112.5</v>
      </c>
      <c r="N268" s="3" t="s">
        <v>41</v>
      </c>
      <c r="O268" s="2" t="s">
        <v>22</v>
      </c>
      <c r="P268" s="2" t="s">
        <v>101</v>
      </c>
      <c r="Q268" s="2" t="s">
        <v>21</v>
      </c>
    </row>
    <row r="269" spans="1:17" x14ac:dyDescent="0.25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tr">
        <f>TEXT(Tabla1[[#This Row],[FECHA CURSO]],"mmmm")</f>
        <v>junio</v>
      </c>
      <c r="J269" s="6">
        <f>YEAR(Tabla1[[#This Row],[FECHA CURSO]])</f>
        <v>2020</v>
      </c>
      <c r="K269" s="5" t="s">
        <v>28</v>
      </c>
      <c r="L269" s="3" t="s">
        <v>40</v>
      </c>
      <c r="M269" s="4">
        <v>86.4</v>
      </c>
      <c r="N269" s="3" t="s">
        <v>21</v>
      </c>
      <c r="O269" s="2" t="s">
        <v>22</v>
      </c>
      <c r="P269" s="2" t="s">
        <v>101</v>
      </c>
      <c r="Q269" s="2" t="s">
        <v>21</v>
      </c>
    </row>
    <row r="270" spans="1:17" x14ac:dyDescent="0.25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tr">
        <f>TEXT(Tabla1[[#This Row],[FECHA CURSO]],"mmmm")</f>
        <v>julio</v>
      </c>
      <c r="J270" s="6">
        <f>YEAR(Tabla1[[#This Row],[FECHA CURSO]])</f>
        <v>2019</v>
      </c>
      <c r="K270" s="5" t="s">
        <v>28</v>
      </c>
      <c r="L270" s="3" t="s">
        <v>29</v>
      </c>
      <c r="M270" s="4">
        <v>108</v>
      </c>
      <c r="N270" s="3" t="s">
        <v>21</v>
      </c>
      <c r="O270" s="2" t="s">
        <v>22</v>
      </c>
      <c r="P270" s="2" t="s">
        <v>73</v>
      </c>
      <c r="Q270" s="2" t="s">
        <v>21</v>
      </c>
    </row>
    <row r="271" spans="1:17" x14ac:dyDescent="0.25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tr">
        <f>TEXT(Tabla1[[#This Row],[FECHA CURSO]],"mmmm")</f>
        <v>mayo</v>
      </c>
      <c r="J271" s="6">
        <f>YEAR(Tabla1[[#This Row],[FECHA CURSO]])</f>
        <v>2020</v>
      </c>
      <c r="K271" s="5" t="s">
        <v>28</v>
      </c>
      <c r="L271" s="3" t="s">
        <v>36</v>
      </c>
      <c r="M271" s="4">
        <v>35</v>
      </c>
      <c r="N271" s="3" t="s">
        <v>21</v>
      </c>
      <c r="O271" s="2" t="s">
        <v>45</v>
      </c>
      <c r="P271" s="2" t="s">
        <v>82</v>
      </c>
      <c r="Q271" s="2" t="s">
        <v>21</v>
      </c>
    </row>
    <row r="272" spans="1:17" x14ac:dyDescent="0.25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tr">
        <f>TEXT(Tabla1[[#This Row],[FECHA CURSO]],"mmmm")</f>
        <v>abril</v>
      </c>
      <c r="J272" s="6">
        <f>YEAR(Tabla1[[#This Row],[FECHA CURSO]])</f>
        <v>2020</v>
      </c>
      <c r="K272" s="5" t="s">
        <v>57</v>
      </c>
      <c r="L272" s="3" t="s">
        <v>40</v>
      </c>
      <c r="M272" s="4">
        <v>60</v>
      </c>
      <c r="N272" s="3" t="s">
        <v>21</v>
      </c>
      <c r="O272" s="2" t="s">
        <v>45</v>
      </c>
      <c r="P272" s="2" t="s">
        <v>82</v>
      </c>
      <c r="Q272" s="2" t="s">
        <v>21</v>
      </c>
    </row>
    <row r="273" spans="1:17" x14ac:dyDescent="0.25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tr">
        <f>TEXT(Tabla1[[#This Row],[FECHA CURSO]],"mmmm")</f>
        <v>octubre</v>
      </c>
      <c r="J273" s="6">
        <f>YEAR(Tabla1[[#This Row],[FECHA CURSO]])</f>
        <v>2020</v>
      </c>
      <c r="K273" s="5" t="s">
        <v>57</v>
      </c>
      <c r="L273" s="3" t="s">
        <v>20</v>
      </c>
      <c r="M273" s="4">
        <v>72</v>
      </c>
      <c r="N273" s="3" t="s">
        <v>21</v>
      </c>
      <c r="O273" s="2" t="s">
        <v>22</v>
      </c>
      <c r="P273" s="2" t="s">
        <v>73</v>
      </c>
      <c r="Q273" s="2" t="s">
        <v>41</v>
      </c>
    </row>
    <row r="274" spans="1:17" x14ac:dyDescent="0.25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tr">
        <f>TEXT(Tabla1[[#This Row],[FECHA CURSO]],"mmmm")</f>
        <v>abril</v>
      </c>
      <c r="J274" s="6">
        <f>YEAR(Tabla1[[#This Row],[FECHA CURSO]])</f>
        <v>2021</v>
      </c>
      <c r="K274" s="5" t="s">
        <v>57</v>
      </c>
      <c r="L274" s="3" t="s">
        <v>20</v>
      </c>
      <c r="M274" s="4">
        <v>96</v>
      </c>
      <c r="N274" s="3" t="s">
        <v>21</v>
      </c>
      <c r="O274" s="2" t="s">
        <v>22</v>
      </c>
      <c r="P274" s="2" t="s">
        <v>73</v>
      </c>
      <c r="Q274" s="2" t="s">
        <v>21</v>
      </c>
    </row>
    <row r="275" spans="1:17" x14ac:dyDescent="0.25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tr">
        <f>TEXT(Tabla1[[#This Row],[FECHA CURSO]],"mmmm")</f>
        <v>julio</v>
      </c>
      <c r="J275" s="6">
        <f>YEAR(Tabla1[[#This Row],[FECHA CURSO]])</f>
        <v>2020</v>
      </c>
      <c r="K275" s="5" t="s">
        <v>57</v>
      </c>
      <c r="L275" s="3" t="s">
        <v>29</v>
      </c>
      <c r="M275" s="4">
        <v>43.75</v>
      </c>
      <c r="N275" s="3" t="s">
        <v>21</v>
      </c>
      <c r="O275" s="2" t="s">
        <v>22</v>
      </c>
      <c r="P275" s="2" t="s">
        <v>73</v>
      </c>
      <c r="Q275" s="2" t="s">
        <v>21</v>
      </c>
    </row>
    <row r="276" spans="1:17" x14ac:dyDescent="0.25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tr">
        <f>TEXT(Tabla1[[#This Row],[FECHA CURSO]],"mmmm")</f>
        <v>julio</v>
      </c>
      <c r="J276" s="6">
        <f>YEAR(Tabla1[[#This Row],[FECHA CURSO]])</f>
        <v>2020</v>
      </c>
      <c r="K276" s="5" t="s">
        <v>57</v>
      </c>
      <c r="L276" s="3" t="s">
        <v>36</v>
      </c>
      <c r="M276" s="4">
        <v>56.25</v>
      </c>
      <c r="N276" s="3" t="s">
        <v>21</v>
      </c>
      <c r="O276" s="2" t="s">
        <v>45</v>
      </c>
      <c r="P276" s="2" t="s">
        <v>82</v>
      </c>
      <c r="Q276" s="2" t="s">
        <v>21</v>
      </c>
    </row>
    <row r="277" spans="1:17" x14ac:dyDescent="0.25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tr">
        <f>TEXT(Tabla1[[#This Row],[FECHA CURSO]],"mmmm")</f>
        <v>agosto</v>
      </c>
      <c r="J277" s="6">
        <f>YEAR(Tabla1[[#This Row],[FECHA CURSO]])</f>
        <v>2021</v>
      </c>
      <c r="K277" s="5" t="s">
        <v>28</v>
      </c>
      <c r="L277" s="3" t="s">
        <v>40</v>
      </c>
      <c r="M277" s="4">
        <v>22.5</v>
      </c>
      <c r="N277" s="3" t="s">
        <v>21</v>
      </c>
      <c r="O277" s="2" t="s">
        <v>30</v>
      </c>
      <c r="P277" s="2" t="s">
        <v>31</v>
      </c>
      <c r="Q277" s="2" t="s">
        <v>21</v>
      </c>
    </row>
    <row r="278" spans="1:17" x14ac:dyDescent="0.25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tr">
        <f>TEXT(Tabla1[[#This Row],[FECHA CURSO]],"mmmm")</f>
        <v>octubre</v>
      </c>
      <c r="J278" s="6">
        <f>YEAR(Tabla1[[#This Row],[FECHA CURSO]])</f>
        <v>2020</v>
      </c>
      <c r="K278" s="5" t="s">
        <v>19</v>
      </c>
      <c r="L278" s="3" t="s">
        <v>29</v>
      </c>
      <c r="M278" s="4">
        <v>12.5</v>
      </c>
      <c r="N278" s="3" t="s">
        <v>21</v>
      </c>
      <c r="O278" s="2" t="s">
        <v>45</v>
      </c>
      <c r="P278" s="2" t="s">
        <v>82</v>
      </c>
      <c r="Q278" s="2" t="s">
        <v>21</v>
      </c>
    </row>
    <row r="279" spans="1:17" x14ac:dyDescent="0.25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tr">
        <f>TEXT(Tabla1[[#This Row],[FECHA CURSO]],"mmmm")</f>
        <v>diciembre</v>
      </c>
      <c r="J279" s="6">
        <f>YEAR(Tabla1[[#This Row],[FECHA CURSO]])</f>
        <v>2019</v>
      </c>
      <c r="K279" s="5" t="s">
        <v>28</v>
      </c>
      <c r="L279" s="3" t="s">
        <v>36</v>
      </c>
      <c r="M279" s="4">
        <v>15</v>
      </c>
      <c r="N279" s="3" t="s">
        <v>21</v>
      </c>
      <c r="O279" s="2" t="s">
        <v>22</v>
      </c>
      <c r="P279" s="2" t="s">
        <v>23</v>
      </c>
      <c r="Q279" s="2" t="s">
        <v>21</v>
      </c>
    </row>
    <row r="280" spans="1:17" x14ac:dyDescent="0.25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tr">
        <f>TEXT(Tabla1[[#This Row],[FECHA CURSO]],"mmmm")</f>
        <v>mayo</v>
      </c>
      <c r="J280" s="6">
        <f>YEAR(Tabla1[[#This Row],[FECHA CURSO]])</f>
        <v>2019</v>
      </c>
      <c r="K280" s="5" t="s">
        <v>19</v>
      </c>
      <c r="L280" s="3" t="s">
        <v>40</v>
      </c>
      <c r="M280" s="4">
        <v>168.75</v>
      </c>
      <c r="N280" s="3" t="s">
        <v>21</v>
      </c>
      <c r="O280" s="2" t="s">
        <v>30</v>
      </c>
      <c r="P280" s="2" t="s">
        <v>31</v>
      </c>
      <c r="Q280" s="2" t="s">
        <v>21</v>
      </c>
    </row>
    <row r="281" spans="1:17" x14ac:dyDescent="0.25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tr">
        <f>TEXT(Tabla1[[#This Row],[FECHA CURSO]],"mmmm")</f>
        <v>octubre</v>
      </c>
      <c r="J281" s="6">
        <f>YEAR(Tabla1[[#This Row],[FECHA CURSO]])</f>
        <v>2020</v>
      </c>
      <c r="K281" s="5" t="s">
        <v>19</v>
      </c>
      <c r="L281" s="3" t="s">
        <v>20</v>
      </c>
      <c r="M281" s="4">
        <v>180</v>
      </c>
      <c r="N281" s="3" t="s">
        <v>21</v>
      </c>
      <c r="O281" s="2" t="s">
        <v>45</v>
      </c>
      <c r="P281" s="2" t="s">
        <v>82</v>
      </c>
      <c r="Q281" s="2" t="s">
        <v>21</v>
      </c>
    </row>
    <row r="282" spans="1:17" x14ac:dyDescent="0.25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tr">
        <f>TEXT(Tabla1[[#This Row],[FECHA CURSO]],"mmmm")</f>
        <v>agosto</v>
      </c>
      <c r="J282" s="6">
        <f>YEAR(Tabla1[[#This Row],[FECHA CURSO]])</f>
        <v>2020</v>
      </c>
      <c r="K282" s="5" t="s">
        <v>19</v>
      </c>
      <c r="L282" s="3" t="s">
        <v>29</v>
      </c>
      <c r="M282" s="4">
        <v>108</v>
      </c>
      <c r="N282" s="3" t="s">
        <v>41</v>
      </c>
      <c r="O282" s="2" t="s">
        <v>30</v>
      </c>
      <c r="P282" s="2" t="s">
        <v>31</v>
      </c>
      <c r="Q282" s="2" t="s">
        <v>21</v>
      </c>
    </row>
    <row r="283" spans="1:17" x14ac:dyDescent="0.25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tr">
        <f>TEXT(Tabla1[[#This Row],[FECHA CURSO]],"mmmm")</f>
        <v>septiembre</v>
      </c>
      <c r="J283" s="6">
        <f>YEAR(Tabla1[[#This Row],[FECHA CURSO]])</f>
        <v>2020</v>
      </c>
      <c r="K283" s="5" t="s">
        <v>19</v>
      </c>
      <c r="L283" s="3" t="s">
        <v>36</v>
      </c>
      <c r="M283" s="4">
        <v>72</v>
      </c>
      <c r="N283" s="3" t="s">
        <v>41</v>
      </c>
      <c r="O283" s="2" t="s">
        <v>22</v>
      </c>
      <c r="P283" s="2" t="s">
        <v>23</v>
      </c>
      <c r="Q283" s="2" t="s">
        <v>21</v>
      </c>
    </row>
    <row r="284" spans="1:17" x14ac:dyDescent="0.25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tr">
        <f>TEXT(Tabla1[[#This Row],[FECHA CURSO]],"mmmm")</f>
        <v>mayo</v>
      </c>
      <c r="J284" s="6">
        <f>YEAR(Tabla1[[#This Row],[FECHA CURSO]])</f>
        <v>2020</v>
      </c>
      <c r="K284" s="5" t="s">
        <v>28</v>
      </c>
      <c r="L284" s="3" t="s">
        <v>20</v>
      </c>
      <c r="M284" s="4">
        <v>48</v>
      </c>
      <c r="N284" s="3" t="s">
        <v>21</v>
      </c>
      <c r="O284" s="2" t="s">
        <v>30</v>
      </c>
      <c r="P284" s="2" t="s">
        <v>31</v>
      </c>
      <c r="Q284" s="2" t="s">
        <v>21</v>
      </c>
    </row>
    <row r="285" spans="1:17" x14ac:dyDescent="0.25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tr">
        <f>TEXT(Tabla1[[#This Row],[FECHA CURSO]],"mmmm")</f>
        <v>enero</v>
      </c>
      <c r="J285" s="6">
        <f>YEAR(Tabla1[[#This Row],[FECHA CURSO]])</f>
        <v>2021</v>
      </c>
      <c r="K285" s="5" t="s">
        <v>28</v>
      </c>
      <c r="L285" s="3" t="s">
        <v>29</v>
      </c>
      <c r="M285" s="4">
        <v>60</v>
      </c>
      <c r="N285" s="3" t="s">
        <v>41</v>
      </c>
      <c r="O285" s="2" t="s">
        <v>45</v>
      </c>
      <c r="P285" s="2" t="s">
        <v>82</v>
      </c>
      <c r="Q285" s="2" t="s">
        <v>21</v>
      </c>
    </row>
    <row r="286" spans="1:17" x14ac:dyDescent="0.25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tr">
        <f>TEXT(Tabla1[[#This Row],[FECHA CURSO]],"mmmm")</f>
        <v>junio</v>
      </c>
      <c r="J286" s="6">
        <f>YEAR(Tabla1[[#This Row],[FECHA CURSO]])</f>
        <v>2020</v>
      </c>
      <c r="K286" s="5" t="s">
        <v>28</v>
      </c>
      <c r="L286" s="3" t="s">
        <v>36</v>
      </c>
      <c r="M286" s="4">
        <v>100</v>
      </c>
      <c r="N286" s="3" t="s">
        <v>21</v>
      </c>
      <c r="O286" s="2" t="s">
        <v>22</v>
      </c>
      <c r="P286" s="2" t="s">
        <v>23</v>
      </c>
      <c r="Q286" s="2" t="s">
        <v>21</v>
      </c>
    </row>
    <row r="287" spans="1:17" x14ac:dyDescent="0.25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tr">
        <f>TEXT(Tabla1[[#This Row],[FECHA CURSO]],"mmmm")</f>
        <v>septiembre</v>
      </c>
      <c r="J287" s="6">
        <f>YEAR(Tabla1[[#This Row],[FECHA CURSO]])</f>
        <v>2020</v>
      </c>
      <c r="K287" s="5" t="s">
        <v>57</v>
      </c>
      <c r="L287" s="3" t="s">
        <v>40</v>
      </c>
      <c r="M287" s="4">
        <v>60</v>
      </c>
      <c r="N287" s="3" t="s">
        <v>21</v>
      </c>
      <c r="O287" s="2" t="s">
        <v>22</v>
      </c>
      <c r="P287" s="2" t="s">
        <v>23</v>
      </c>
      <c r="Q287" s="2" t="s">
        <v>21</v>
      </c>
    </row>
    <row r="288" spans="1:17" x14ac:dyDescent="0.25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tr">
        <f>TEXT(Tabla1[[#This Row],[FECHA CURSO]],"mmmm")</f>
        <v>diciembre</v>
      </c>
      <c r="J288" s="6">
        <f>YEAR(Tabla1[[#This Row],[FECHA CURSO]])</f>
        <v>2019</v>
      </c>
      <c r="K288" s="5" t="s">
        <v>57</v>
      </c>
      <c r="L288" s="3" t="s">
        <v>20</v>
      </c>
      <c r="M288" s="4">
        <v>48</v>
      </c>
      <c r="N288" s="3" t="s">
        <v>21</v>
      </c>
      <c r="O288" s="2" t="s">
        <v>45</v>
      </c>
      <c r="P288" s="2" t="s">
        <v>82</v>
      </c>
      <c r="Q288" s="2" t="s">
        <v>21</v>
      </c>
    </row>
    <row r="289" spans="1:17" x14ac:dyDescent="0.25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tr">
        <f>TEXT(Tabla1[[#This Row],[FECHA CURSO]],"mmmm")</f>
        <v>octubre</v>
      </c>
      <c r="J289" s="6">
        <f>YEAR(Tabla1[[#This Row],[FECHA CURSO]])</f>
        <v>2021</v>
      </c>
      <c r="K289" s="5" t="s">
        <v>57</v>
      </c>
      <c r="L289" s="3" t="s">
        <v>29</v>
      </c>
      <c r="M289" s="4">
        <v>48</v>
      </c>
      <c r="N289" s="3" t="s">
        <v>21</v>
      </c>
      <c r="O289" s="2" t="s">
        <v>45</v>
      </c>
      <c r="P289" s="2" t="s">
        <v>46</v>
      </c>
      <c r="Q289" s="2" t="s">
        <v>21</v>
      </c>
    </row>
    <row r="290" spans="1:17" x14ac:dyDescent="0.25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tr">
        <f>TEXT(Tabla1[[#This Row],[FECHA CURSO]],"mmmm")</f>
        <v>septiembre</v>
      </c>
      <c r="J290" s="6">
        <f>YEAR(Tabla1[[#This Row],[FECHA CURSO]])</f>
        <v>2019</v>
      </c>
      <c r="K290" s="5" t="s">
        <v>57</v>
      </c>
      <c r="L290" s="3" t="s">
        <v>36</v>
      </c>
      <c r="M290" s="4">
        <v>72</v>
      </c>
      <c r="N290" s="3" t="s">
        <v>21</v>
      </c>
      <c r="O290" s="2" t="s">
        <v>22</v>
      </c>
      <c r="P290" s="2" t="s">
        <v>23</v>
      </c>
      <c r="Q290" s="2" t="s">
        <v>21</v>
      </c>
    </row>
    <row r="291" spans="1:17" x14ac:dyDescent="0.25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tr">
        <f>TEXT(Tabla1[[#This Row],[FECHA CURSO]],"mmmm")</f>
        <v>mayo</v>
      </c>
      <c r="J291" s="6">
        <f>YEAR(Tabla1[[#This Row],[FECHA CURSO]])</f>
        <v>2021</v>
      </c>
      <c r="K291" s="5" t="s">
        <v>57</v>
      </c>
      <c r="L291" s="3" t="s">
        <v>40</v>
      </c>
      <c r="M291" s="4">
        <v>61.25</v>
      </c>
      <c r="N291" s="3" t="s">
        <v>21</v>
      </c>
      <c r="O291" s="2" t="s">
        <v>30</v>
      </c>
      <c r="P291" s="2" t="s">
        <v>31</v>
      </c>
      <c r="Q291" s="2" t="s">
        <v>21</v>
      </c>
    </row>
    <row r="292" spans="1:17" x14ac:dyDescent="0.25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tr">
        <f>TEXT(Tabla1[[#This Row],[FECHA CURSO]],"mmmm")</f>
        <v>julio</v>
      </c>
      <c r="J292" s="6">
        <f>YEAR(Tabla1[[#This Row],[FECHA CURSO]])</f>
        <v>2020</v>
      </c>
      <c r="K292" s="5" t="s">
        <v>28</v>
      </c>
      <c r="L292" s="3" t="s">
        <v>29</v>
      </c>
      <c r="M292" s="4">
        <v>70</v>
      </c>
      <c r="N292" s="3" t="s">
        <v>21</v>
      </c>
      <c r="O292" s="2" t="s">
        <v>45</v>
      </c>
      <c r="P292" s="2" t="s">
        <v>46</v>
      </c>
      <c r="Q292" s="2" t="s">
        <v>21</v>
      </c>
    </row>
    <row r="293" spans="1:17" x14ac:dyDescent="0.25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tr">
        <f>TEXT(Tabla1[[#This Row],[FECHA CURSO]],"mmmm")</f>
        <v>julio</v>
      </c>
      <c r="J293" s="6">
        <f>YEAR(Tabla1[[#This Row],[FECHA CURSO]])</f>
        <v>2020</v>
      </c>
      <c r="K293" s="5" t="s">
        <v>57</v>
      </c>
      <c r="L293" s="3" t="s">
        <v>36</v>
      </c>
      <c r="M293" s="4">
        <v>70</v>
      </c>
      <c r="N293" s="3" t="s">
        <v>21</v>
      </c>
      <c r="O293" s="2" t="s">
        <v>45</v>
      </c>
      <c r="P293" s="2" t="s">
        <v>46</v>
      </c>
      <c r="Q293" s="2" t="s">
        <v>21</v>
      </c>
    </row>
    <row r="294" spans="1:17" x14ac:dyDescent="0.25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tr">
        <f>TEXT(Tabla1[[#This Row],[FECHA CURSO]],"mmmm")</f>
        <v>agosto</v>
      </c>
      <c r="J294" s="6">
        <f>YEAR(Tabla1[[#This Row],[FECHA CURSO]])</f>
        <v>2021</v>
      </c>
      <c r="K294" s="5" t="s">
        <v>57</v>
      </c>
      <c r="L294" s="3" t="s">
        <v>40</v>
      </c>
      <c r="M294" s="4">
        <v>61.25</v>
      </c>
      <c r="N294" s="3" t="s">
        <v>21</v>
      </c>
      <c r="O294" s="2" t="s">
        <v>22</v>
      </c>
      <c r="P294" s="2" t="s">
        <v>23</v>
      </c>
      <c r="Q294" s="2" t="s">
        <v>21</v>
      </c>
    </row>
    <row r="295" spans="1:17" x14ac:dyDescent="0.25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tr">
        <f>TEXT(Tabla1[[#This Row],[FECHA CURSO]],"mmmm")</f>
        <v>febrero</v>
      </c>
      <c r="J295" s="6">
        <f>YEAR(Tabla1[[#This Row],[FECHA CURSO]])</f>
        <v>2021</v>
      </c>
      <c r="K295" s="5" t="s">
        <v>57</v>
      </c>
      <c r="L295" s="3" t="s">
        <v>20</v>
      </c>
      <c r="M295" s="4">
        <v>24</v>
      </c>
      <c r="N295" s="3" t="s">
        <v>21</v>
      </c>
      <c r="O295" s="2" t="s">
        <v>22</v>
      </c>
      <c r="P295" s="2" t="s">
        <v>23</v>
      </c>
      <c r="Q295" s="2" t="s">
        <v>21</v>
      </c>
    </row>
    <row r="296" spans="1:17" x14ac:dyDescent="0.25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tr">
        <f>TEXT(Tabla1[[#This Row],[FECHA CURSO]],"mmmm")</f>
        <v>enero</v>
      </c>
      <c r="J296" s="6">
        <f>YEAR(Tabla1[[#This Row],[FECHA CURSO]])</f>
        <v>2019</v>
      </c>
      <c r="K296" s="5" t="s">
        <v>28</v>
      </c>
      <c r="L296" s="3" t="s">
        <v>29</v>
      </c>
      <c r="M296" s="4">
        <v>48</v>
      </c>
      <c r="N296" s="3" t="s">
        <v>21</v>
      </c>
      <c r="O296" s="2" t="s">
        <v>22</v>
      </c>
      <c r="P296" s="2" t="s">
        <v>23</v>
      </c>
      <c r="Q296" s="2" t="s">
        <v>21</v>
      </c>
    </row>
    <row r="297" spans="1:17" x14ac:dyDescent="0.25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tr">
        <f>TEXT(Tabla1[[#This Row],[FECHA CURSO]],"mmmm")</f>
        <v>marzo</v>
      </c>
      <c r="J297" s="6">
        <f>YEAR(Tabla1[[#This Row],[FECHA CURSO]])</f>
        <v>2021</v>
      </c>
      <c r="K297" s="5" t="s">
        <v>28</v>
      </c>
      <c r="L297" s="3" t="s">
        <v>36</v>
      </c>
      <c r="M297" s="4">
        <v>26.25</v>
      </c>
      <c r="N297" s="3" t="s">
        <v>21</v>
      </c>
      <c r="O297" s="2" t="s">
        <v>45</v>
      </c>
      <c r="P297" s="2" t="s">
        <v>46</v>
      </c>
      <c r="Q297" s="2" t="s">
        <v>21</v>
      </c>
    </row>
    <row r="298" spans="1:17" x14ac:dyDescent="0.25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tr">
        <f>TEXT(Tabla1[[#This Row],[FECHA CURSO]],"mmmm")</f>
        <v>agosto</v>
      </c>
      <c r="J298" s="6">
        <f>YEAR(Tabla1[[#This Row],[FECHA CURSO]])</f>
        <v>2021</v>
      </c>
      <c r="K298" s="5" t="s">
        <v>28</v>
      </c>
      <c r="L298" s="3" t="s">
        <v>20</v>
      </c>
      <c r="M298" s="4">
        <v>43.75</v>
      </c>
      <c r="N298" s="3" t="s">
        <v>21</v>
      </c>
      <c r="O298" s="2" t="s">
        <v>45</v>
      </c>
      <c r="P298" s="2" t="s">
        <v>46</v>
      </c>
      <c r="Q298" s="2" t="s">
        <v>21</v>
      </c>
    </row>
    <row r="299" spans="1:17" x14ac:dyDescent="0.25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tr">
        <f>TEXT(Tabla1[[#This Row],[FECHA CURSO]],"mmmm")</f>
        <v>abril</v>
      </c>
      <c r="J299" s="6">
        <f>YEAR(Tabla1[[#This Row],[FECHA CURSO]])</f>
        <v>2021</v>
      </c>
      <c r="K299" s="5" t="s">
        <v>28</v>
      </c>
      <c r="L299" s="3" t="s">
        <v>29</v>
      </c>
      <c r="M299" s="4">
        <v>26.25</v>
      </c>
      <c r="N299" s="3" t="s">
        <v>21</v>
      </c>
      <c r="O299" s="2" t="s">
        <v>22</v>
      </c>
      <c r="P299" s="2" t="s">
        <v>23</v>
      </c>
      <c r="Q299" s="2" t="s">
        <v>21</v>
      </c>
    </row>
    <row r="300" spans="1:17" x14ac:dyDescent="0.25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tr">
        <f>TEXT(Tabla1[[#This Row],[FECHA CURSO]],"mmmm")</f>
        <v>junio</v>
      </c>
      <c r="J300" s="6">
        <f>YEAR(Tabla1[[#This Row],[FECHA CURSO]])</f>
        <v>2021</v>
      </c>
      <c r="K300" s="5" t="s">
        <v>57</v>
      </c>
      <c r="L300" s="3" t="s">
        <v>36</v>
      </c>
      <c r="M300" s="4">
        <v>24</v>
      </c>
      <c r="N300" s="3" t="s">
        <v>41</v>
      </c>
      <c r="O300" s="2" t="s">
        <v>30</v>
      </c>
      <c r="P300" s="2" t="s">
        <v>31</v>
      </c>
      <c r="Q300" s="2" t="s">
        <v>21</v>
      </c>
    </row>
    <row r="301" spans="1:17" x14ac:dyDescent="0.25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tr">
        <f>TEXT(Tabla1[[#This Row],[FECHA CURSO]],"mmmm")</f>
        <v>septiembre</v>
      </c>
      <c r="J301" s="6">
        <f>YEAR(Tabla1[[#This Row],[FECHA CURSO]])</f>
        <v>2021</v>
      </c>
      <c r="K301" s="5" t="s">
        <v>57</v>
      </c>
      <c r="L301" s="3" t="s">
        <v>40</v>
      </c>
      <c r="M301" s="4">
        <v>28.8</v>
      </c>
      <c r="N301" s="3" t="s">
        <v>41</v>
      </c>
      <c r="O301" s="2" t="s">
        <v>45</v>
      </c>
      <c r="P301" s="2" t="s">
        <v>46</v>
      </c>
      <c r="Q301" s="2" t="s">
        <v>21</v>
      </c>
    </row>
    <row r="302" spans="1:17" x14ac:dyDescent="0.25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tr">
        <f>TEXT(Tabla1[[#This Row],[FECHA CURSO]],"mmmm")</f>
        <v>diciembre</v>
      </c>
      <c r="J302" s="6">
        <f>YEAR(Tabla1[[#This Row],[FECHA CURSO]])</f>
        <v>2021</v>
      </c>
      <c r="K302" s="5" t="s">
        <v>57</v>
      </c>
      <c r="L302" s="3" t="s">
        <v>29</v>
      </c>
      <c r="M302" s="4">
        <v>36</v>
      </c>
      <c r="N302" s="3" t="s">
        <v>41</v>
      </c>
      <c r="O302" s="2" t="s">
        <v>30</v>
      </c>
      <c r="P302" s="2" t="s">
        <v>31</v>
      </c>
      <c r="Q302" s="2" t="s">
        <v>21</v>
      </c>
    </row>
    <row r="303" spans="1:17" x14ac:dyDescent="0.25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tr">
        <f>TEXT(Tabla1[[#This Row],[FECHA CURSO]],"mmmm")</f>
        <v>abril</v>
      </c>
      <c r="J303" s="6">
        <f>YEAR(Tabla1[[#This Row],[FECHA CURSO]])</f>
        <v>2019</v>
      </c>
      <c r="K303" s="5" t="s">
        <v>57</v>
      </c>
      <c r="L303" s="3" t="s">
        <v>36</v>
      </c>
      <c r="M303" s="4">
        <v>31.25</v>
      </c>
      <c r="N303" s="3" t="s">
        <v>41</v>
      </c>
      <c r="O303" s="2" t="s">
        <v>22</v>
      </c>
      <c r="P303" s="2" t="s">
        <v>23</v>
      </c>
      <c r="Q303" s="2" t="s">
        <v>21</v>
      </c>
    </row>
    <row r="304" spans="1:17" x14ac:dyDescent="0.25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tr">
        <f>TEXT(Tabla1[[#This Row],[FECHA CURSO]],"mmmm")</f>
        <v>junio</v>
      </c>
      <c r="J304" s="6">
        <f>YEAR(Tabla1[[#This Row],[FECHA CURSO]])</f>
        <v>2019</v>
      </c>
      <c r="K304" s="5" t="s">
        <v>57</v>
      </c>
      <c r="L304" s="3" t="s">
        <v>40</v>
      </c>
      <c r="M304" s="4">
        <v>18.75</v>
      </c>
      <c r="N304" s="3" t="s">
        <v>21</v>
      </c>
      <c r="O304" s="2" t="s">
        <v>30</v>
      </c>
      <c r="P304" s="2" t="s">
        <v>31</v>
      </c>
      <c r="Q304" s="2" t="s">
        <v>41</v>
      </c>
    </row>
    <row r="305" spans="1:17" x14ac:dyDescent="0.25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tr">
        <f>TEXT(Tabla1[[#This Row],[FECHA CURSO]],"mmmm")</f>
        <v>julio</v>
      </c>
      <c r="J305" s="6">
        <f>YEAR(Tabla1[[#This Row],[FECHA CURSO]])</f>
        <v>2019</v>
      </c>
      <c r="K305" s="5" t="s">
        <v>28</v>
      </c>
      <c r="L305" s="3" t="s">
        <v>20</v>
      </c>
      <c r="M305" s="4">
        <v>25</v>
      </c>
      <c r="N305" s="3" t="s">
        <v>21</v>
      </c>
      <c r="O305" s="2" t="s">
        <v>45</v>
      </c>
      <c r="P305" s="2" t="s">
        <v>46</v>
      </c>
      <c r="Q305" s="2" t="s">
        <v>21</v>
      </c>
    </row>
    <row r="306" spans="1:17" x14ac:dyDescent="0.25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tr">
        <f>TEXT(Tabla1[[#This Row],[FECHA CURSO]],"mmmm")</f>
        <v>junio</v>
      </c>
      <c r="J306" s="6">
        <f>YEAR(Tabla1[[#This Row],[FECHA CURSO]])</f>
        <v>2020</v>
      </c>
      <c r="K306" s="5" t="s">
        <v>19</v>
      </c>
      <c r="L306" s="3" t="s">
        <v>29</v>
      </c>
      <c r="M306" s="4">
        <v>25</v>
      </c>
      <c r="N306" s="3" t="s">
        <v>21</v>
      </c>
      <c r="O306" s="2" t="s">
        <v>22</v>
      </c>
      <c r="P306" s="2" t="s">
        <v>23</v>
      </c>
      <c r="Q306" s="2" t="s">
        <v>21</v>
      </c>
    </row>
    <row r="307" spans="1:17" x14ac:dyDescent="0.25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tr">
        <f>TEXT(Tabla1[[#This Row],[FECHA CURSO]],"mmmm")</f>
        <v>mayo</v>
      </c>
      <c r="J307" s="6">
        <f>YEAR(Tabla1[[#This Row],[FECHA CURSO]])</f>
        <v>2021</v>
      </c>
      <c r="K307" s="5" t="s">
        <v>28</v>
      </c>
      <c r="L307" s="3" t="s">
        <v>36</v>
      </c>
      <c r="M307" s="4">
        <v>37.5</v>
      </c>
      <c r="N307" s="3" t="s">
        <v>21</v>
      </c>
      <c r="O307" s="2" t="s">
        <v>22</v>
      </c>
      <c r="P307" s="2" t="s">
        <v>101</v>
      </c>
      <c r="Q307" s="2" t="s">
        <v>21</v>
      </c>
    </row>
    <row r="308" spans="1:17" x14ac:dyDescent="0.25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tr">
        <f>TEXT(Tabla1[[#This Row],[FECHA CURSO]],"mmmm")</f>
        <v>marzo</v>
      </c>
      <c r="J308" s="6">
        <f>YEAR(Tabla1[[#This Row],[FECHA CURSO]])</f>
        <v>2019</v>
      </c>
      <c r="K308" s="5" t="s">
        <v>19</v>
      </c>
      <c r="L308" s="3" t="s">
        <v>40</v>
      </c>
      <c r="M308" s="4">
        <v>393.75</v>
      </c>
      <c r="N308" s="3" t="s">
        <v>41</v>
      </c>
      <c r="O308" s="2" t="s">
        <v>45</v>
      </c>
      <c r="P308" s="2" t="s">
        <v>46</v>
      </c>
      <c r="Q308" s="2" t="s">
        <v>21</v>
      </c>
    </row>
    <row r="309" spans="1:17" x14ac:dyDescent="0.25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tr">
        <f>TEXT(Tabla1[[#This Row],[FECHA CURSO]],"mmmm")</f>
        <v>agosto</v>
      </c>
      <c r="J309" s="6">
        <f>YEAR(Tabla1[[#This Row],[FECHA CURSO]])</f>
        <v>2019</v>
      </c>
      <c r="K309" s="5" t="s">
        <v>19</v>
      </c>
      <c r="L309" s="3" t="s">
        <v>20</v>
      </c>
      <c r="M309" s="4">
        <v>288</v>
      </c>
      <c r="N309" s="3" t="s">
        <v>41</v>
      </c>
      <c r="O309" s="2" t="s">
        <v>45</v>
      </c>
      <c r="P309" s="2" t="s">
        <v>46</v>
      </c>
      <c r="Q309" s="2" t="s">
        <v>21</v>
      </c>
    </row>
    <row r="310" spans="1:17" x14ac:dyDescent="0.25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tr">
        <f>TEXT(Tabla1[[#This Row],[FECHA CURSO]],"mmmm")</f>
        <v>octubre</v>
      </c>
      <c r="J310" s="6">
        <f>YEAR(Tabla1[[#This Row],[FECHA CURSO]])</f>
        <v>2021</v>
      </c>
      <c r="K310" s="5" t="s">
        <v>19</v>
      </c>
      <c r="L310" s="3" t="s">
        <v>29</v>
      </c>
      <c r="M310" s="4">
        <v>288</v>
      </c>
      <c r="N310" s="3" t="s">
        <v>21</v>
      </c>
      <c r="O310" s="2" t="s">
        <v>22</v>
      </c>
      <c r="P310" s="2" t="s">
        <v>101</v>
      </c>
      <c r="Q310" s="2" t="s">
        <v>21</v>
      </c>
    </row>
    <row r="311" spans="1:17" x14ac:dyDescent="0.25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tr">
        <f>TEXT(Tabla1[[#This Row],[FECHA CURSO]],"mmmm")</f>
        <v>mayo</v>
      </c>
      <c r="J311" s="6">
        <f>YEAR(Tabla1[[#This Row],[FECHA CURSO]])</f>
        <v>2021</v>
      </c>
      <c r="K311" s="5" t="s">
        <v>19</v>
      </c>
      <c r="L311" s="3" t="s">
        <v>36</v>
      </c>
      <c r="M311" s="4">
        <v>252</v>
      </c>
      <c r="N311" s="3" t="s">
        <v>41</v>
      </c>
      <c r="O311" s="2" t="s">
        <v>30</v>
      </c>
      <c r="P311" s="2" t="s">
        <v>31</v>
      </c>
      <c r="Q311" s="2" t="s">
        <v>21</v>
      </c>
    </row>
    <row r="312" spans="1:17" x14ac:dyDescent="0.25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tr">
        <f>TEXT(Tabla1[[#This Row],[FECHA CURSO]],"mmmm")</f>
        <v>agosto</v>
      </c>
      <c r="J312" s="6">
        <f>YEAR(Tabla1[[#This Row],[FECHA CURSO]])</f>
        <v>2021</v>
      </c>
      <c r="K312" s="5" t="s">
        <v>28</v>
      </c>
      <c r="L312" s="3" t="s">
        <v>40</v>
      </c>
      <c r="M312" s="4">
        <v>180</v>
      </c>
      <c r="N312" s="3" t="s">
        <v>41</v>
      </c>
      <c r="O312" s="2" t="s">
        <v>45</v>
      </c>
      <c r="P312" s="2" t="s">
        <v>46</v>
      </c>
      <c r="Q312" s="2" t="s">
        <v>21</v>
      </c>
    </row>
    <row r="313" spans="1:17" x14ac:dyDescent="0.25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tr">
        <f>TEXT(Tabla1[[#This Row],[FECHA CURSO]],"mmmm")</f>
        <v>julio</v>
      </c>
      <c r="J313" s="6">
        <f>YEAR(Tabla1[[#This Row],[FECHA CURSO]])</f>
        <v>2021</v>
      </c>
      <c r="K313" s="5" t="s">
        <v>28</v>
      </c>
      <c r="L313" s="3" t="s">
        <v>29</v>
      </c>
      <c r="M313" s="4">
        <v>43.75</v>
      </c>
      <c r="N313" s="3" t="s">
        <v>21</v>
      </c>
      <c r="O313" s="2" t="s">
        <v>45</v>
      </c>
      <c r="P313" s="2" t="s">
        <v>46</v>
      </c>
      <c r="Q313" s="2" t="s">
        <v>21</v>
      </c>
    </row>
    <row r="314" spans="1:17" x14ac:dyDescent="0.25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tr">
        <f>TEXT(Tabla1[[#This Row],[FECHA CURSO]],"mmmm")</f>
        <v>agosto</v>
      </c>
      <c r="J314" s="6">
        <f>YEAR(Tabla1[[#This Row],[FECHA CURSO]])</f>
        <v>2020</v>
      </c>
      <c r="K314" s="5" t="s">
        <v>19</v>
      </c>
      <c r="L314" s="3" t="s">
        <v>36</v>
      </c>
      <c r="M314" s="4">
        <v>35</v>
      </c>
      <c r="N314" s="3" t="s">
        <v>41</v>
      </c>
      <c r="O314" s="2" t="s">
        <v>22</v>
      </c>
      <c r="P314" s="2" t="s">
        <v>101</v>
      </c>
      <c r="Q314" s="2" t="s">
        <v>21</v>
      </c>
    </row>
    <row r="315" spans="1:17" x14ac:dyDescent="0.25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tr">
        <f>TEXT(Tabla1[[#This Row],[FECHA CURSO]],"mmmm")</f>
        <v>enero</v>
      </c>
      <c r="J315" s="6">
        <f>YEAR(Tabla1[[#This Row],[FECHA CURSO]])</f>
        <v>2019</v>
      </c>
      <c r="K315" s="5" t="s">
        <v>28</v>
      </c>
      <c r="L315" s="3" t="s">
        <v>40</v>
      </c>
      <c r="M315" s="4">
        <v>17.5</v>
      </c>
      <c r="N315" s="3" t="s">
        <v>21</v>
      </c>
      <c r="O315" s="2" t="s">
        <v>22</v>
      </c>
      <c r="P315" s="2" t="s">
        <v>73</v>
      </c>
      <c r="Q315" s="2" t="s">
        <v>21</v>
      </c>
    </row>
    <row r="316" spans="1:17" x14ac:dyDescent="0.25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tr">
        <f>TEXT(Tabla1[[#This Row],[FECHA CURSO]],"mmmm")</f>
        <v>agosto</v>
      </c>
      <c r="J316" s="6">
        <f>YEAR(Tabla1[[#This Row],[FECHA CURSO]])</f>
        <v>2021</v>
      </c>
      <c r="K316" s="5" t="s">
        <v>19</v>
      </c>
      <c r="L316" s="3" t="s">
        <v>20</v>
      </c>
      <c r="M316" s="4">
        <v>28.8</v>
      </c>
      <c r="N316" s="3" t="s">
        <v>21</v>
      </c>
      <c r="O316" s="2" t="s">
        <v>22</v>
      </c>
      <c r="P316" s="2" t="s">
        <v>73</v>
      </c>
      <c r="Q316" s="2" t="s">
        <v>21</v>
      </c>
    </row>
    <row r="317" spans="1:17" x14ac:dyDescent="0.25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tr">
        <f>TEXT(Tabla1[[#This Row],[FECHA CURSO]],"mmmm")</f>
        <v>enero</v>
      </c>
      <c r="J317" s="6">
        <f>YEAR(Tabla1[[#This Row],[FECHA CURSO]])</f>
        <v>2019</v>
      </c>
      <c r="K317" s="5" t="s">
        <v>19</v>
      </c>
      <c r="L317" s="3" t="s">
        <v>29</v>
      </c>
      <c r="M317" s="4">
        <v>36</v>
      </c>
      <c r="N317" s="3" t="s">
        <v>41</v>
      </c>
      <c r="O317" s="2" t="s">
        <v>45</v>
      </c>
      <c r="P317" s="2" t="s">
        <v>46</v>
      </c>
      <c r="Q317" s="2" t="s">
        <v>21</v>
      </c>
    </row>
    <row r="318" spans="1:17" x14ac:dyDescent="0.25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tr">
        <f>TEXT(Tabla1[[#This Row],[FECHA CURSO]],"mmmm")</f>
        <v>febrero</v>
      </c>
      <c r="J318" s="6">
        <f>YEAR(Tabla1[[#This Row],[FECHA CURSO]])</f>
        <v>2021</v>
      </c>
      <c r="K318" s="5" t="s">
        <v>19</v>
      </c>
      <c r="L318" s="3" t="s">
        <v>36</v>
      </c>
      <c r="M318" s="4">
        <v>48</v>
      </c>
      <c r="N318" s="3" t="s">
        <v>41</v>
      </c>
      <c r="O318" s="2" t="s">
        <v>45</v>
      </c>
      <c r="P318" s="2" t="s">
        <v>46</v>
      </c>
      <c r="Q318" s="2" t="s">
        <v>21</v>
      </c>
    </row>
    <row r="319" spans="1:17" x14ac:dyDescent="0.25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tr">
        <f>TEXT(Tabla1[[#This Row],[FECHA CURSO]],"mmmm")</f>
        <v>octubre</v>
      </c>
      <c r="J319" s="6">
        <f>YEAR(Tabla1[[#This Row],[FECHA CURSO]])</f>
        <v>2019</v>
      </c>
      <c r="K319" s="5" t="s">
        <v>19</v>
      </c>
      <c r="L319" s="3" t="s">
        <v>20</v>
      </c>
      <c r="M319" s="4">
        <v>31.25</v>
      </c>
      <c r="N319" s="3" t="s">
        <v>21</v>
      </c>
      <c r="O319" s="2" t="s">
        <v>22</v>
      </c>
      <c r="P319" s="2" t="s">
        <v>73</v>
      </c>
      <c r="Q319" s="2" t="s">
        <v>21</v>
      </c>
    </row>
    <row r="320" spans="1:17" x14ac:dyDescent="0.25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tr">
        <f>TEXT(Tabla1[[#This Row],[FECHA CURSO]],"mmmm")</f>
        <v>abril</v>
      </c>
      <c r="J320" s="6">
        <f>YEAR(Tabla1[[#This Row],[FECHA CURSO]])</f>
        <v>2020</v>
      </c>
      <c r="K320" s="5" t="s">
        <v>28</v>
      </c>
      <c r="L320" s="3" t="s">
        <v>29</v>
      </c>
      <c r="M320" s="4">
        <v>37.5</v>
      </c>
      <c r="N320" s="3" t="s">
        <v>21</v>
      </c>
      <c r="O320" s="2" t="s">
        <v>22</v>
      </c>
      <c r="P320" s="2" t="s">
        <v>73</v>
      </c>
      <c r="Q320" s="2" t="s">
        <v>21</v>
      </c>
    </row>
    <row r="321" spans="1:17" x14ac:dyDescent="0.25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tr">
        <f>TEXT(Tabla1[[#This Row],[FECHA CURSO]],"mmmm")</f>
        <v>junio</v>
      </c>
      <c r="J321" s="6">
        <f>YEAR(Tabla1[[#This Row],[FECHA CURSO]])</f>
        <v>2019</v>
      </c>
      <c r="K321" s="5" t="s">
        <v>28</v>
      </c>
      <c r="L321" s="3" t="s">
        <v>36</v>
      </c>
      <c r="M321" s="4">
        <v>50</v>
      </c>
      <c r="N321" s="3" t="s">
        <v>21</v>
      </c>
      <c r="O321" s="2" t="s">
        <v>22</v>
      </c>
      <c r="P321" s="2" t="s">
        <v>73</v>
      </c>
      <c r="Q321" s="2" t="s">
        <v>21</v>
      </c>
    </row>
    <row r="322" spans="1:17" x14ac:dyDescent="0.25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tr">
        <f>TEXT(Tabla1[[#This Row],[FECHA CURSO]],"mmmm")</f>
        <v>septiembre</v>
      </c>
      <c r="J322" s="6">
        <f>YEAR(Tabla1[[#This Row],[FECHA CURSO]])</f>
        <v>2020</v>
      </c>
      <c r="K322" s="5" t="s">
        <v>28</v>
      </c>
      <c r="L322" s="3" t="s">
        <v>40</v>
      </c>
      <c r="M322" s="4">
        <v>43.75</v>
      </c>
      <c r="N322" s="3" t="s">
        <v>21</v>
      </c>
      <c r="O322" s="2" t="s">
        <v>45</v>
      </c>
      <c r="P322" s="2" t="s">
        <v>82</v>
      </c>
      <c r="Q322" s="2" t="s">
        <v>41</v>
      </c>
    </row>
    <row r="323" spans="1:17" x14ac:dyDescent="0.25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tr">
        <f>TEXT(Tabla1[[#This Row],[FECHA CURSO]],"mmmm")</f>
        <v>enero</v>
      </c>
      <c r="J323" s="6">
        <f>YEAR(Tabla1[[#This Row],[FECHA CURSO]])</f>
        <v>2020</v>
      </c>
      <c r="K323" s="5" t="s">
        <v>28</v>
      </c>
      <c r="L323" s="3" t="s">
        <v>20</v>
      </c>
      <c r="M323" s="4">
        <v>56.25</v>
      </c>
      <c r="N323" s="3" t="s">
        <v>41</v>
      </c>
      <c r="O323" s="2" t="s">
        <v>30</v>
      </c>
      <c r="P323" s="2" t="s">
        <v>31</v>
      </c>
      <c r="Q323" s="2" t="s">
        <v>41</v>
      </c>
    </row>
    <row r="324" spans="1:17" x14ac:dyDescent="0.25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tr">
        <f>TEXT(Tabla1[[#This Row],[FECHA CURSO]],"mmmm")</f>
        <v>octubre</v>
      </c>
      <c r="J324" s="6">
        <f>YEAR(Tabla1[[#This Row],[FECHA CURSO]])</f>
        <v>2019</v>
      </c>
      <c r="K324" s="5" t="s">
        <v>57</v>
      </c>
      <c r="L324" s="3" t="s">
        <v>29</v>
      </c>
      <c r="M324" s="4">
        <v>202.5</v>
      </c>
      <c r="N324" s="3" t="s">
        <v>21</v>
      </c>
      <c r="O324" s="2" t="s">
        <v>45</v>
      </c>
      <c r="P324" s="2" t="s">
        <v>82</v>
      </c>
      <c r="Q324" s="2" t="s">
        <v>21</v>
      </c>
    </row>
    <row r="325" spans="1:17" x14ac:dyDescent="0.25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tr">
        <f>TEXT(Tabla1[[#This Row],[FECHA CURSO]],"mmmm")</f>
        <v>diciembre</v>
      </c>
      <c r="J325" s="6">
        <f>YEAR(Tabla1[[#This Row],[FECHA CURSO]])</f>
        <v>2020</v>
      </c>
      <c r="K325" s="5" t="s">
        <v>57</v>
      </c>
      <c r="L325" s="3" t="s">
        <v>36</v>
      </c>
      <c r="M325" s="4">
        <v>72</v>
      </c>
      <c r="N325" s="3" t="s">
        <v>21</v>
      </c>
      <c r="O325" s="2" t="s">
        <v>22</v>
      </c>
      <c r="P325" s="2" t="s">
        <v>73</v>
      </c>
      <c r="Q325" s="2" t="s">
        <v>21</v>
      </c>
    </row>
    <row r="326" spans="1:17" x14ac:dyDescent="0.25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tr">
        <f>TEXT(Tabla1[[#This Row],[FECHA CURSO]],"mmmm")</f>
        <v>julio</v>
      </c>
      <c r="J326" s="6">
        <f>YEAR(Tabla1[[#This Row],[FECHA CURSO]])</f>
        <v>2021</v>
      </c>
      <c r="K326" s="5" t="s">
        <v>57</v>
      </c>
      <c r="L326" s="3" t="s">
        <v>40</v>
      </c>
      <c r="M326" s="4">
        <v>324</v>
      </c>
      <c r="N326" s="3" t="s">
        <v>21</v>
      </c>
      <c r="O326" s="2" t="s">
        <v>30</v>
      </c>
      <c r="P326" s="2" t="s">
        <v>31</v>
      </c>
      <c r="Q326" s="2" t="s">
        <v>41</v>
      </c>
    </row>
    <row r="327" spans="1:17" x14ac:dyDescent="0.25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tr">
        <f>TEXT(Tabla1[[#This Row],[FECHA CURSO]],"mmmm")</f>
        <v>noviembre</v>
      </c>
      <c r="J327" s="6">
        <f>YEAR(Tabla1[[#This Row],[FECHA CURSO]])</f>
        <v>2020</v>
      </c>
      <c r="K327" s="5" t="s">
        <v>28</v>
      </c>
      <c r="L327" s="3" t="s">
        <v>29</v>
      </c>
      <c r="M327" s="4">
        <v>180</v>
      </c>
      <c r="N327" s="3" t="s">
        <v>21</v>
      </c>
      <c r="O327" s="2" t="s">
        <v>45</v>
      </c>
      <c r="P327" s="2" t="s">
        <v>82</v>
      </c>
      <c r="Q327" s="2" t="s">
        <v>21</v>
      </c>
    </row>
    <row r="328" spans="1:17" x14ac:dyDescent="0.25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tr">
        <f>TEXT(Tabla1[[#This Row],[FECHA CURSO]],"mmmm")</f>
        <v>abril</v>
      </c>
      <c r="J328" s="6">
        <f>YEAR(Tabla1[[#This Row],[FECHA CURSO]])</f>
        <v>2020</v>
      </c>
      <c r="K328" s="5" t="s">
        <v>28</v>
      </c>
      <c r="L328" s="3" t="s">
        <v>36</v>
      </c>
      <c r="M328" s="4">
        <v>80</v>
      </c>
      <c r="N328" s="3" t="s">
        <v>21</v>
      </c>
      <c r="O328" s="2" t="s">
        <v>30</v>
      </c>
      <c r="P328" s="2" t="s">
        <v>31</v>
      </c>
      <c r="Q328" s="2" t="s">
        <v>21</v>
      </c>
    </row>
    <row r="329" spans="1:17" x14ac:dyDescent="0.25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tr">
        <f>TEXT(Tabla1[[#This Row],[FECHA CURSO]],"mmmm")</f>
        <v>febrero</v>
      </c>
      <c r="J329" s="6">
        <f>YEAR(Tabla1[[#This Row],[FECHA CURSO]])</f>
        <v>2020</v>
      </c>
      <c r="K329" s="5" t="s">
        <v>28</v>
      </c>
      <c r="L329" s="3" t="s">
        <v>40</v>
      </c>
      <c r="M329" s="4">
        <v>40</v>
      </c>
      <c r="N329" s="3" t="s">
        <v>21</v>
      </c>
      <c r="O329" s="2" t="s">
        <v>22</v>
      </c>
      <c r="P329" s="2" t="s">
        <v>73</v>
      </c>
      <c r="Q329" s="2" t="s">
        <v>41</v>
      </c>
    </row>
    <row r="330" spans="1:17" x14ac:dyDescent="0.25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tr">
        <f>TEXT(Tabla1[[#This Row],[FECHA CURSO]],"mmmm")</f>
        <v>mayo</v>
      </c>
      <c r="J330" s="6">
        <f>YEAR(Tabla1[[#This Row],[FECHA CURSO]])</f>
        <v>2020</v>
      </c>
      <c r="K330" s="5" t="s">
        <v>28</v>
      </c>
      <c r="L330" s="3" t="s">
        <v>20</v>
      </c>
      <c r="M330" s="4">
        <v>48</v>
      </c>
      <c r="N330" s="3" t="s">
        <v>21</v>
      </c>
      <c r="O330" s="2" t="s">
        <v>30</v>
      </c>
      <c r="P330" s="2" t="s">
        <v>31</v>
      </c>
      <c r="Q330" s="2" t="s">
        <v>41</v>
      </c>
    </row>
    <row r="331" spans="1:17" x14ac:dyDescent="0.25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tr">
        <f>TEXT(Tabla1[[#This Row],[FECHA CURSO]],"mmmm")</f>
        <v>agosto</v>
      </c>
      <c r="J331" s="6">
        <f>YEAR(Tabla1[[#This Row],[FECHA CURSO]])</f>
        <v>2019</v>
      </c>
      <c r="K331" s="5" t="s">
        <v>57</v>
      </c>
      <c r="L331" s="3" t="s">
        <v>29</v>
      </c>
      <c r="M331" s="4">
        <v>60</v>
      </c>
      <c r="N331" s="3" t="s">
        <v>21</v>
      </c>
      <c r="O331" s="2" t="s">
        <v>45</v>
      </c>
      <c r="P331" s="2" t="s">
        <v>82</v>
      </c>
      <c r="Q331" s="2" t="s">
        <v>21</v>
      </c>
    </row>
    <row r="332" spans="1:17" x14ac:dyDescent="0.25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tr">
        <f>TEXT(Tabla1[[#This Row],[FECHA CURSO]],"mmmm")</f>
        <v>enero</v>
      </c>
      <c r="J332" s="6">
        <f>YEAR(Tabla1[[#This Row],[FECHA CURSO]])</f>
        <v>2019</v>
      </c>
      <c r="K332" s="5" t="s">
        <v>57</v>
      </c>
      <c r="L332" s="3" t="s">
        <v>36</v>
      </c>
      <c r="M332" s="4">
        <v>48</v>
      </c>
      <c r="N332" s="3" t="s">
        <v>21</v>
      </c>
      <c r="O332" s="2" t="s">
        <v>22</v>
      </c>
      <c r="P332" s="2" t="s">
        <v>73</v>
      </c>
      <c r="Q332" s="2" t="s">
        <v>21</v>
      </c>
    </row>
    <row r="333" spans="1:17" x14ac:dyDescent="0.25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tr">
        <f>TEXT(Tabla1[[#This Row],[FECHA CURSO]],"mmmm")</f>
        <v>octubre</v>
      </c>
      <c r="J333" s="6">
        <f>YEAR(Tabla1[[#This Row],[FECHA CURSO]])</f>
        <v>2019</v>
      </c>
      <c r="K333" s="5" t="s">
        <v>57</v>
      </c>
      <c r="L333" s="3" t="s">
        <v>20</v>
      </c>
      <c r="M333" s="4">
        <v>60</v>
      </c>
      <c r="N333" s="3" t="s">
        <v>21</v>
      </c>
      <c r="O333" s="2" t="s">
        <v>30</v>
      </c>
      <c r="P333" s="2" t="s">
        <v>31</v>
      </c>
      <c r="Q333" s="2" t="s">
        <v>41</v>
      </c>
    </row>
    <row r="334" spans="1:17" x14ac:dyDescent="0.25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tr">
        <f>TEXT(Tabla1[[#This Row],[FECHA CURSO]],"mmmm")</f>
        <v>marzo</v>
      </c>
      <c r="J334" s="6">
        <f>YEAR(Tabla1[[#This Row],[FECHA CURSO]])</f>
        <v>2020</v>
      </c>
      <c r="K334" s="5" t="s">
        <v>57</v>
      </c>
      <c r="L334" s="3" t="s">
        <v>29</v>
      </c>
      <c r="M334" s="4">
        <v>72</v>
      </c>
      <c r="N334" s="3" t="s">
        <v>21</v>
      </c>
      <c r="O334" s="2" t="s">
        <v>22</v>
      </c>
      <c r="P334" s="2" t="s">
        <v>101</v>
      </c>
      <c r="Q334" s="2" t="s">
        <v>21</v>
      </c>
    </row>
    <row r="335" spans="1:17" x14ac:dyDescent="0.25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tr">
        <f>TEXT(Tabla1[[#This Row],[FECHA CURSO]],"mmmm")</f>
        <v>abril</v>
      </c>
      <c r="J335" s="6">
        <f>YEAR(Tabla1[[#This Row],[FECHA CURSO]])</f>
        <v>2019</v>
      </c>
      <c r="K335" s="5" t="s">
        <v>57</v>
      </c>
      <c r="L335" s="3" t="s">
        <v>36</v>
      </c>
      <c r="M335" s="4">
        <v>70</v>
      </c>
      <c r="N335" s="3" t="s">
        <v>21</v>
      </c>
      <c r="O335" s="2" t="s">
        <v>30</v>
      </c>
      <c r="P335" s="2" t="s">
        <v>31</v>
      </c>
      <c r="Q335" s="2" t="s">
        <v>21</v>
      </c>
    </row>
    <row r="336" spans="1:17" x14ac:dyDescent="0.25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tr">
        <f>TEXT(Tabla1[[#This Row],[FECHA CURSO]],"mmmm")</f>
        <v>julio</v>
      </c>
      <c r="J336" s="6">
        <f>YEAR(Tabla1[[#This Row],[FECHA CURSO]])</f>
        <v>2021</v>
      </c>
      <c r="K336" s="5" t="s">
        <v>28</v>
      </c>
      <c r="L336" s="3" t="s">
        <v>40</v>
      </c>
      <c r="M336" s="4">
        <v>61.25</v>
      </c>
      <c r="N336" s="3" t="s">
        <v>21</v>
      </c>
      <c r="O336" s="2" t="s">
        <v>45</v>
      </c>
      <c r="P336" s="2" t="s">
        <v>82</v>
      </c>
      <c r="Q336" s="2" t="s">
        <v>41</v>
      </c>
    </row>
    <row r="337" spans="1:17" x14ac:dyDescent="0.25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tr">
        <f>TEXT(Tabla1[[#This Row],[FECHA CURSO]],"mmmm")</f>
        <v>abril</v>
      </c>
      <c r="J337" s="6">
        <f>YEAR(Tabla1[[#This Row],[FECHA CURSO]])</f>
        <v>2021</v>
      </c>
      <c r="K337" s="5" t="s">
        <v>19</v>
      </c>
      <c r="L337" s="3" t="s">
        <v>20</v>
      </c>
      <c r="M337" s="4">
        <v>21</v>
      </c>
      <c r="N337" s="3" t="s">
        <v>41</v>
      </c>
      <c r="O337" s="2" t="s">
        <v>30</v>
      </c>
      <c r="P337" s="2" t="s">
        <v>31</v>
      </c>
      <c r="Q337" s="2" t="s">
        <v>21</v>
      </c>
    </row>
    <row r="338" spans="1:17" x14ac:dyDescent="0.25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tr">
        <f>TEXT(Tabla1[[#This Row],[FECHA CURSO]],"mmmm")</f>
        <v>diciembre</v>
      </c>
      <c r="J338" s="6">
        <f>YEAR(Tabla1[[#This Row],[FECHA CURSO]])</f>
        <v>2020</v>
      </c>
      <c r="K338" s="5" t="s">
        <v>28</v>
      </c>
      <c r="L338" s="3" t="s">
        <v>29</v>
      </c>
      <c r="M338" s="4">
        <v>26.25</v>
      </c>
      <c r="N338" s="3" t="s">
        <v>41</v>
      </c>
      <c r="O338" s="2" t="s">
        <v>22</v>
      </c>
      <c r="P338" s="2" t="s">
        <v>101</v>
      </c>
      <c r="Q338" s="2" t="s">
        <v>21</v>
      </c>
    </row>
    <row r="339" spans="1:17" x14ac:dyDescent="0.25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tr">
        <f>TEXT(Tabla1[[#This Row],[FECHA CURSO]],"mmmm")</f>
        <v>julio</v>
      </c>
      <c r="J339" s="6">
        <f>YEAR(Tabla1[[#This Row],[FECHA CURSO]])</f>
        <v>2020</v>
      </c>
      <c r="K339" s="5" t="s">
        <v>19</v>
      </c>
      <c r="L339" s="3" t="s">
        <v>36</v>
      </c>
      <c r="M339" s="4">
        <v>60</v>
      </c>
      <c r="N339" s="3" t="s">
        <v>41</v>
      </c>
      <c r="O339" s="2" t="s">
        <v>30</v>
      </c>
      <c r="P339" s="2" t="s">
        <v>31</v>
      </c>
      <c r="Q339" s="2" t="s">
        <v>21</v>
      </c>
    </row>
    <row r="340" spans="1:17" x14ac:dyDescent="0.25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tr">
        <f>TEXT(Tabla1[[#This Row],[FECHA CURSO]],"mmmm")</f>
        <v>julio</v>
      </c>
      <c r="J340" s="6">
        <f>YEAR(Tabla1[[#This Row],[FECHA CURSO]])</f>
        <v>2019</v>
      </c>
      <c r="K340" s="5" t="s">
        <v>19</v>
      </c>
      <c r="L340" s="3" t="s">
        <v>40</v>
      </c>
      <c r="M340" s="4">
        <v>60</v>
      </c>
      <c r="N340" s="3" t="s">
        <v>41</v>
      </c>
      <c r="O340" s="2" t="s">
        <v>45</v>
      </c>
      <c r="P340" s="2" t="s">
        <v>82</v>
      </c>
      <c r="Q340" s="2" t="s">
        <v>21</v>
      </c>
    </row>
    <row r="341" spans="1:17" x14ac:dyDescent="0.25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tr">
        <f>TEXT(Tabla1[[#This Row],[FECHA CURSO]],"mmmm")</f>
        <v>mayo</v>
      </c>
      <c r="J341" s="6">
        <f>YEAR(Tabla1[[#This Row],[FECHA CURSO]])</f>
        <v>2020</v>
      </c>
      <c r="K341" s="5" t="s">
        <v>19</v>
      </c>
      <c r="L341" s="3" t="s">
        <v>29</v>
      </c>
      <c r="M341" s="4">
        <v>35</v>
      </c>
      <c r="N341" s="3" t="s">
        <v>41</v>
      </c>
      <c r="O341" s="2" t="s">
        <v>22</v>
      </c>
      <c r="P341" s="2" t="s">
        <v>101</v>
      </c>
      <c r="Q341" s="2" t="s">
        <v>21</v>
      </c>
    </row>
    <row r="342" spans="1:17" x14ac:dyDescent="0.25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tr">
        <f>TEXT(Tabla1[[#This Row],[FECHA CURSO]],"mmmm")</f>
        <v>octubre</v>
      </c>
      <c r="J342" s="6">
        <f>YEAR(Tabla1[[#This Row],[FECHA CURSO]])</f>
        <v>2021</v>
      </c>
      <c r="K342" s="5" t="s">
        <v>19</v>
      </c>
      <c r="L342" s="3" t="s">
        <v>36</v>
      </c>
      <c r="M342" s="4">
        <v>35</v>
      </c>
      <c r="N342" s="3" t="s">
        <v>21</v>
      </c>
      <c r="O342" s="2" t="s">
        <v>22</v>
      </c>
      <c r="P342" s="2" t="s">
        <v>101</v>
      </c>
      <c r="Q342" s="2" t="s">
        <v>21</v>
      </c>
    </row>
    <row r="343" spans="1:17" x14ac:dyDescent="0.25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tr">
        <f>TEXT(Tabla1[[#This Row],[FECHA CURSO]],"mmmm")</f>
        <v>agosto</v>
      </c>
      <c r="J343" s="6">
        <f>YEAR(Tabla1[[#This Row],[FECHA CURSO]])</f>
        <v>2019</v>
      </c>
      <c r="K343" s="5" t="s">
        <v>28</v>
      </c>
      <c r="L343" s="3" t="s">
        <v>40</v>
      </c>
      <c r="M343" s="4">
        <v>52.5</v>
      </c>
      <c r="N343" s="3" t="s">
        <v>21</v>
      </c>
      <c r="O343" s="2" t="s">
        <v>45</v>
      </c>
      <c r="P343" s="2" t="s">
        <v>82</v>
      </c>
      <c r="Q343" s="2" t="s">
        <v>21</v>
      </c>
    </row>
    <row r="344" spans="1:17" x14ac:dyDescent="0.25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tr">
        <f>TEXT(Tabla1[[#This Row],[FECHA CURSO]],"mmmm")</f>
        <v>marzo</v>
      </c>
      <c r="J344" s="6">
        <f>YEAR(Tabla1[[#This Row],[FECHA CURSO]])</f>
        <v>2020</v>
      </c>
      <c r="K344" s="5" t="s">
        <v>28</v>
      </c>
      <c r="L344" s="3" t="s">
        <v>20</v>
      </c>
      <c r="M344" s="4">
        <v>84</v>
      </c>
      <c r="N344" s="3" t="s">
        <v>21</v>
      </c>
      <c r="O344" s="2" t="s">
        <v>45</v>
      </c>
      <c r="P344" s="2" t="s">
        <v>82</v>
      </c>
      <c r="Q344" s="2" t="s">
        <v>21</v>
      </c>
    </row>
    <row r="345" spans="1:17" x14ac:dyDescent="0.25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tr">
        <f>TEXT(Tabla1[[#This Row],[FECHA CURSO]],"mmmm")</f>
        <v>mayo</v>
      </c>
      <c r="J345" s="6">
        <f>YEAR(Tabla1[[#This Row],[FECHA CURSO]])</f>
        <v>2020</v>
      </c>
      <c r="K345" s="5" t="s">
        <v>28</v>
      </c>
      <c r="L345" s="3" t="s">
        <v>29</v>
      </c>
      <c r="M345" s="4">
        <v>96</v>
      </c>
      <c r="N345" s="3" t="s">
        <v>21</v>
      </c>
      <c r="O345" s="2" t="s">
        <v>22</v>
      </c>
      <c r="P345" s="2" t="s">
        <v>73</v>
      </c>
      <c r="Q345" s="2" t="s">
        <v>21</v>
      </c>
    </row>
    <row r="346" spans="1:17" x14ac:dyDescent="0.25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tr">
        <f>TEXT(Tabla1[[#This Row],[FECHA CURSO]],"mmmm")</f>
        <v>febrero</v>
      </c>
      <c r="J346" s="6">
        <f>YEAR(Tabla1[[#This Row],[FECHA CURSO]])</f>
        <v>2020</v>
      </c>
      <c r="K346" s="5" t="s">
        <v>28</v>
      </c>
      <c r="L346" s="3" t="s">
        <v>36</v>
      </c>
      <c r="M346" s="4">
        <v>96</v>
      </c>
      <c r="N346" s="3" t="s">
        <v>41</v>
      </c>
      <c r="O346" s="2" t="s">
        <v>30</v>
      </c>
      <c r="P346" s="2" t="s">
        <v>31</v>
      </c>
      <c r="Q346" s="2" t="s">
        <v>21</v>
      </c>
    </row>
    <row r="347" spans="1:17" x14ac:dyDescent="0.25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tr">
        <f>TEXT(Tabla1[[#This Row],[FECHA CURSO]],"mmmm")</f>
        <v>octubre</v>
      </c>
      <c r="J347" s="6">
        <f>YEAR(Tabla1[[#This Row],[FECHA CURSO]])</f>
        <v>2019</v>
      </c>
      <c r="K347" s="5" t="s">
        <v>57</v>
      </c>
      <c r="L347" s="3" t="s">
        <v>20</v>
      </c>
      <c r="M347" s="4">
        <v>43.75</v>
      </c>
      <c r="N347" s="3" t="s">
        <v>41</v>
      </c>
      <c r="O347" s="2" t="s">
        <v>22</v>
      </c>
      <c r="P347" s="2" t="s">
        <v>73</v>
      </c>
      <c r="Q347" s="2" t="s">
        <v>21</v>
      </c>
    </row>
    <row r="348" spans="1:17" x14ac:dyDescent="0.25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tr">
        <f>TEXT(Tabla1[[#This Row],[FECHA CURSO]],"mmmm")</f>
        <v>diciembre</v>
      </c>
      <c r="J348" s="6">
        <f>YEAR(Tabla1[[#This Row],[FECHA CURSO]])</f>
        <v>2021</v>
      </c>
      <c r="K348" s="5" t="s">
        <v>57</v>
      </c>
      <c r="L348" s="3" t="s">
        <v>29</v>
      </c>
      <c r="M348" s="4">
        <v>56.25</v>
      </c>
      <c r="N348" s="3" t="s">
        <v>41</v>
      </c>
      <c r="O348" s="2" t="s">
        <v>30</v>
      </c>
      <c r="P348" s="2" t="s">
        <v>31</v>
      </c>
      <c r="Q348" s="2" t="s">
        <v>21</v>
      </c>
    </row>
    <row r="349" spans="1:17" x14ac:dyDescent="0.25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tr">
        <f>TEXT(Tabla1[[#This Row],[FECHA CURSO]],"mmmm")</f>
        <v>julio</v>
      </c>
      <c r="J349" s="6">
        <f>YEAR(Tabla1[[#This Row],[FECHA CURSO]])</f>
        <v>2021</v>
      </c>
      <c r="K349" s="5" t="s">
        <v>57</v>
      </c>
      <c r="L349" s="3" t="s">
        <v>36</v>
      </c>
      <c r="M349" s="4">
        <v>31.25</v>
      </c>
      <c r="N349" s="3" t="s">
        <v>41</v>
      </c>
      <c r="O349" s="2" t="s">
        <v>45</v>
      </c>
      <c r="P349" s="2" t="s">
        <v>82</v>
      </c>
      <c r="Q349" s="2" t="s">
        <v>21</v>
      </c>
    </row>
    <row r="350" spans="1:17" x14ac:dyDescent="0.25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tr">
        <f>TEXT(Tabla1[[#This Row],[FECHA CURSO]],"mmmm")</f>
        <v>septiembre</v>
      </c>
      <c r="J350" s="6">
        <f>YEAR(Tabla1[[#This Row],[FECHA CURSO]])</f>
        <v>2020</v>
      </c>
      <c r="K350" s="5" t="s">
        <v>28</v>
      </c>
      <c r="L350" s="3" t="s">
        <v>40</v>
      </c>
      <c r="M350" s="4">
        <v>25</v>
      </c>
      <c r="N350" s="3" t="s">
        <v>41</v>
      </c>
      <c r="O350" s="2" t="s">
        <v>30</v>
      </c>
      <c r="P350" s="2" t="s">
        <v>31</v>
      </c>
      <c r="Q350" s="2" t="s">
        <v>21</v>
      </c>
    </row>
    <row r="351" spans="1:17" x14ac:dyDescent="0.25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tr">
        <f>TEXT(Tabla1[[#This Row],[FECHA CURSO]],"mmmm")</f>
        <v>abril</v>
      </c>
      <c r="J351" s="6">
        <f>YEAR(Tabla1[[#This Row],[FECHA CURSO]])</f>
        <v>2019</v>
      </c>
      <c r="K351" s="5" t="s">
        <v>28</v>
      </c>
      <c r="L351" s="3" t="s">
        <v>29</v>
      </c>
      <c r="M351" s="4">
        <v>12.5</v>
      </c>
      <c r="N351" s="3" t="s">
        <v>21</v>
      </c>
      <c r="O351" s="2" t="s">
        <v>22</v>
      </c>
      <c r="P351" s="2" t="s">
        <v>73</v>
      </c>
      <c r="Q351" s="2" t="s">
        <v>21</v>
      </c>
    </row>
    <row r="352" spans="1:17" x14ac:dyDescent="0.25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tr">
        <f>TEXT(Tabla1[[#This Row],[FECHA CURSO]],"mmmm")</f>
        <v>enero</v>
      </c>
      <c r="J352" s="6">
        <f>YEAR(Tabla1[[#This Row],[FECHA CURSO]])</f>
        <v>2021</v>
      </c>
      <c r="K352" s="5" t="s">
        <v>28</v>
      </c>
      <c r="L352" s="3" t="s">
        <v>36</v>
      </c>
      <c r="M352" s="4">
        <v>135</v>
      </c>
      <c r="N352" s="3" t="s">
        <v>41</v>
      </c>
      <c r="O352" s="2" t="s">
        <v>30</v>
      </c>
      <c r="P352" s="2" t="s">
        <v>31</v>
      </c>
      <c r="Q352" s="2" t="s">
        <v>21</v>
      </c>
    </row>
    <row r="353" spans="1:17" x14ac:dyDescent="0.25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tr">
        <f>TEXT(Tabla1[[#This Row],[FECHA CURSO]],"mmmm")</f>
        <v>mayo</v>
      </c>
      <c r="J353" s="6">
        <f>YEAR(Tabla1[[#This Row],[FECHA CURSO]])</f>
        <v>2019</v>
      </c>
      <c r="K353" s="5" t="s">
        <v>28</v>
      </c>
      <c r="L353" s="3" t="s">
        <v>40</v>
      </c>
      <c r="M353" s="4">
        <v>108</v>
      </c>
      <c r="N353" s="3" t="s">
        <v>21</v>
      </c>
      <c r="O353" s="2" t="s">
        <v>45</v>
      </c>
      <c r="P353" s="2" t="s">
        <v>82</v>
      </c>
      <c r="Q353" s="2" t="s">
        <v>21</v>
      </c>
    </row>
    <row r="354" spans="1:17" x14ac:dyDescent="0.25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tr">
        <f>TEXT(Tabla1[[#This Row],[FECHA CURSO]],"mmmm")</f>
        <v>octubre</v>
      </c>
      <c r="J354" s="6">
        <f>YEAR(Tabla1[[#This Row],[FECHA CURSO]])</f>
        <v>2019</v>
      </c>
      <c r="K354" s="5" t="s">
        <v>57</v>
      </c>
      <c r="L354" s="3" t="s">
        <v>20</v>
      </c>
      <c r="M354" s="4">
        <v>144</v>
      </c>
      <c r="N354" s="3" t="s">
        <v>21</v>
      </c>
      <c r="O354" s="2" t="s">
        <v>22</v>
      </c>
      <c r="P354" s="2" t="s">
        <v>73</v>
      </c>
      <c r="Q354" s="2" t="s">
        <v>41</v>
      </c>
    </row>
    <row r="355" spans="1:17" x14ac:dyDescent="0.25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tr">
        <f>TEXT(Tabla1[[#This Row],[FECHA CURSO]],"mmmm")</f>
        <v>junio</v>
      </c>
      <c r="J355" s="6">
        <f>YEAR(Tabla1[[#This Row],[FECHA CURSO]])</f>
        <v>2019</v>
      </c>
      <c r="K355" s="5" t="s">
        <v>57</v>
      </c>
      <c r="L355" s="3" t="s">
        <v>29</v>
      </c>
      <c r="M355" s="4">
        <v>180</v>
      </c>
      <c r="N355" s="3" t="s">
        <v>21</v>
      </c>
      <c r="O355" s="2" t="s">
        <v>22</v>
      </c>
      <c r="P355" s="2" t="s">
        <v>73</v>
      </c>
      <c r="Q355" s="2" t="s">
        <v>21</v>
      </c>
    </row>
    <row r="356" spans="1:17" x14ac:dyDescent="0.25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tr">
        <f>TEXT(Tabla1[[#This Row],[FECHA CURSO]],"mmmm")</f>
        <v>abril</v>
      </c>
      <c r="J356" s="6">
        <f>YEAR(Tabla1[[#This Row],[FECHA CURSO]])</f>
        <v>2019</v>
      </c>
      <c r="K356" s="5" t="s">
        <v>57</v>
      </c>
      <c r="L356" s="3" t="s">
        <v>36</v>
      </c>
      <c r="M356" s="4">
        <v>120</v>
      </c>
      <c r="N356" s="3" t="s">
        <v>21</v>
      </c>
      <c r="O356" s="2" t="s">
        <v>45</v>
      </c>
      <c r="P356" s="2" t="s">
        <v>82</v>
      </c>
      <c r="Q356" s="2" t="s">
        <v>21</v>
      </c>
    </row>
    <row r="357" spans="1:17" x14ac:dyDescent="0.25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tr">
        <f>TEXT(Tabla1[[#This Row],[FECHA CURSO]],"mmmm")</f>
        <v>junio</v>
      </c>
      <c r="J357" s="6">
        <f>YEAR(Tabla1[[#This Row],[FECHA CURSO]])</f>
        <v>2019</v>
      </c>
      <c r="K357" s="5" t="s">
        <v>57</v>
      </c>
      <c r="L357" s="3" t="s">
        <v>20</v>
      </c>
      <c r="M357" s="4">
        <v>160</v>
      </c>
      <c r="N357" s="3" t="s">
        <v>21</v>
      </c>
      <c r="O357" s="2" t="s">
        <v>45</v>
      </c>
      <c r="P357" s="2" t="s">
        <v>82</v>
      </c>
      <c r="Q357" s="2" t="s">
        <v>41</v>
      </c>
    </row>
    <row r="358" spans="1:17" x14ac:dyDescent="0.25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tr">
        <f>TEXT(Tabla1[[#This Row],[FECHA CURSO]],"mmmm")</f>
        <v>diciembre</v>
      </c>
      <c r="J358" s="6">
        <f>YEAR(Tabla1[[#This Row],[FECHA CURSO]])</f>
        <v>2019</v>
      </c>
      <c r="K358" s="5" t="s">
        <v>57</v>
      </c>
      <c r="L358" s="3" t="s">
        <v>29</v>
      </c>
      <c r="M358" s="4">
        <v>140</v>
      </c>
      <c r="N358" s="3" t="s">
        <v>21</v>
      </c>
      <c r="O358" s="2" t="s">
        <v>22</v>
      </c>
      <c r="P358" s="2" t="s">
        <v>73</v>
      </c>
      <c r="Q358" s="2" t="s">
        <v>21</v>
      </c>
    </row>
    <row r="359" spans="1:17" x14ac:dyDescent="0.25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tr">
        <f>TEXT(Tabla1[[#This Row],[FECHA CURSO]],"mmmm")</f>
        <v>mayo</v>
      </c>
      <c r="J359" s="6">
        <f>YEAR(Tabla1[[#This Row],[FECHA CURSO]])</f>
        <v>2019</v>
      </c>
      <c r="K359" s="5" t="s">
        <v>28</v>
      </c>
      <c r="L359" s="3" t="s">
        <v>36</v>
      </c>
      <c r="M359" s="4">
        <v>180</v>
      </c>
      <c r="N359" s="3" t="s">
        <v>21</v>
      </c>
      <c r="O359" s="2" t="s">
        <v>30</v>
      </c>
      <c r="P359" s="2" t="s">
        <v>104</v>
      </c>
      <c r="Q359" s="2" t="s">
        <v>21</v>
      </c>
    </row>
    <row r="360" spans="1:17" x14ac:dyDescent="0.25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tr">
        <f>TEXT(Tabla1[[#This Row],[FECHA CURSO]],"mmmm")</f>
        <v>septiembre</v>
      </c>
      <c r="J360" s="6">
        <f>YEAR(Tabla1[[#This Row],[FECHA CURSO]])</f>
        <v>2019</v>
      </c>
      <c r="K360" s="5" t="s">
        <v>57</v>
      </c>
      <c r="L360" s="3" t="s">
        <v>40</v>
      </c>
      <c r="M360" s="4">
        <v>43.2</v>
      </c>
      <c r="N360" s="3" t="s">
        <v>21</v>
      </c>
      <c r="O360" s="2" t="s">
        <v>45</v>
      </c>
      <c r="P360" s="2" t="s">
        <v>82</v>
      </c>
      <c r="Q360" s="2" t="s">
        <v>41</v>
      </c>
    </row>
    <row r="361" spans="1:17" x14ac:dyDescent="0.25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tr">
        <f>TEXT(Tabla1[[#This Row],[FECHA CURSO]],"mmmm")</f>
        <v>junio</v>
      </c>
      <c r="J361" s="6">
        <f>YEAR(Tabla1[[#This Row],[FECHA CURSO]])</f>
        <v>2020</v>
      </c>
      <c r="K361" s="5" t="s">
        <v>57</v>
      </c>
      <c r="L361" s="3" t="s">
        <v>20</v>
      </c>
      <c r="M361" s="4">
        <v>24</v>
      </c>
      <c r="N361" s="3" t="s">
        <v>21</v>
      </c>
      <c r="O361" s="2" t="s">
        <v>45</v>
      </c>
      <c r="P361" s="2" t="s">
        <v>82</v>
      </c>
      <c r="Q361" s="2" t="s">
        <v>41</v>
      </c>
    </row>
    <row r="362" spans="1:17" x14ac:dyDescent="0.25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tr">
        <f>TEXT(Tabla1[[#This Row],[FECHA CURSO]],"mmmm")</f>
        <v>julio</v>
      </c>
      <c r="J362" s="6">
        <f>YEAR(Tabla1[[#This Row],[FECHA CURSO]])</f>
        <v>2021</v>
      </c>
      <c r="K362" s="5" t="s">
        <v>57</v>
      </c>
      <c r="L362" s="3" t="s">
        <v>29</v>
      </c>
      <c r="M362" s="4">
        <v>108</v>
      </c>
      <c r="N362" s="3" t="s">
        <v>21</v>
      </c>
      <c r="O362" s="2" t="s">
        <v>22</v>
      </c>
      <c r="P362" s="2" t="s">
        <v>73</v>
      </c>
      <c r="Q362" s="2" t="s">
        <v>21</v>
      </c>
    </row>
    <row r="363" spans="1:17" x14ac:dyDescent="0.25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tr">
        <f>TEXT(Tabla1[[#This Row],[FECHA CURSO]],"mmmm")</f>
        <v>abril</v>
      </c>
      <c r="J363" s="6">
        <f>YEAR(Tabla1[[#This Row],[FECHA CURSO]])</f>
        <v>2021</v>
      </c>
      <c r="K363" s="5" t="s">
        <v>28</v>
      </c>
      <c r="L363" s="3" t="s">
        <v>36</v>
      </c>
      <c r="M363" s="4">
        <v>43.75</v>
      </c>
      <c r="N363" s="3" t="s">
        <v>21</v>
      </c>
      <c r="O363" s="2" t="s">
        <v>22</v>
      </c>
      <c r="P363" s="2" t="s">
        <v>73</v>
      </c>
      <c r="Q363" s="2" t="s">
        <v>21</v>
      </c>
    </row>
    <row r="364" spans="1:17" ht="13" x14ac:dyDescent="0.25">
      <c r="A364" s="2" t="s">
        <v>416</v>
      </c>
      <c r="E364" s="7"/>
      <c r="G364" s="7"/>
      <c r="M364" s="8">
        <f>SUBTOTAL(109,Tabla1[IMPORTE COMERCIAL])</f>
        <v>28041.649999999998</v>
      </c>
      <c r="N364" s="3"/>
      <c r="Q364" s="2">
        <f>SUBTOTAL(103,Tabla1[PAGADO COMERCIAL])</f>
        <v>362</v>
      </c>
    </row>
  </sheetData>
  <phoneticPr fontId="3" type="noConversion"/>
  <conditionalFormatting sqref="C14">
    <cfRule type="duplicateValues" dxfId="161" priority="1"/>
  </conditionalFormatting>
  <pageMargins left="0.75" right="0.75" top="1" bottom="1" header="0" footer="0"/>
  <pageSetup orientation="portrait" horizontalDpi="360" verticalDpi="36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B30F-6F2F-412E-93BC-E23C517227A1}">
  <dimension ref="A3:Q16"/>
  <sheetViews>
    <sheetView topLeftCell="A2" zoomScale="115" zoomScaleNormal="115" workbookViewId="0">
      <selection activeCell="AA37" sqref="AA37"/>
    </sheetView>
  </sheetViews>
  <sheetFormatPr baseColWidth="10" defaultRowHeight="12.5" x14ac:dyDescent="0.25"/>
  <cols>
    <col min="1" max="1" width="16.90625" bestFit="1" customWidth="1"/>
    <col min="2" max="2" width="25.453125" bestFit="1" customWidth="1"/>
    <col min="4" max="4" width="16.90625" bestFit="1" customWidth="1"/>
    <col min="5" max="5" width="25.453125" bestFit="1" customWidth="1"/>
    <col min="7" max="7" width="16.90625" bestFit="1" customWidth="1"/>
    <col min="8" max="8" width="25.453125" bestFit="1" customWidth="1"/>
    <col min="10" max="10" width="16.90625" bestFit="1" customWidth="1"/>
    <col min="11" max="11" width="25.453125" bestFit="1" customWidth="1"/>
    <col min="13" max="13" width="16.90625" bestFit="1" customWidth="1"/>
    <col min="14" max="14" width="25.90625" bestFit="1" customWidth="1"/>
    <col min="16" max="16" width="16.90625" bestFit="1" customWidth="1"/>
    <col min="17" max="17" width="16.6328125" bestFit="1" customWidth="1"/>
  </cols>
  <sheetData>
    <row r="3" spans="1:17" x14ac:dyDescent="0.25">
      <c r="A3" s="9" t="s">
        <v>418</v>
      </c>
      <c r="B3" t="s">
        <v>420</v>
      </c>
      <c r="D3" s="9" t="s">
        <v>418</v>
      </c>
      <c r="E3" t="s">
        <v>420</v>
      </c>
      <c r="G3" s="9" t="s">
        <v>418</v>
      </c>
      <c r="H3" t="s">
        <v>420</v>
      </c>
      <c r="J3" s="9" t="s">
        <v>418</v>
      </c>
      <c r="K3" t="s">
        <v>420</v>
      </c>
      <c r="M3" s="9" t="s">
        <v>418</v>
      </c>
      <c r="N3" t="s">
        <v>434</v>
      </c>
      <c r="P3" s="9" t="s">
        <v>418</v>
      </c>
      <c r="Q3" t="s">
        <v>435</v>
      </c>
    </row>
    <row r="4" spans="1:17" x14ac:dyDescent="0.25">
      <c r="A4" s="10" t="s">
        <v>53</v>
      </c>
      <c r="B4" s="11">
        <v>2675</v>
      </c>
      <c r="D4" s="10" t="s">
        <v>22</v>
      </c>
      <c r="E4" s="12">
        <v>0.44071182131832215</v>
      </c>
      <c r="G4" s="10" t="s">
        <v>422</v>
      </c>
      <c r="H4" s="11">
        <v>2795</v>
      </c>
      <c r="J4" s="10" t="s">
        <v>41</v>
      </c>
      <c r="K4" s="12">
        <v>0.21620967253798196</v>
      </c>
      <c r="M4" s="10" t="s">
        <v>19</v>
      </c>
      <c r="N4" s="12">
        <v>0.26</v>
      </c>
      <c r="P4" s="10" t="s">
        <v>33</v>
      </c>
      <c r="Q4" s="13">
        <v>25</v>
      </c>
    </row>
    <row r="5" spans="1:17" x14ac:dyDescent="0.25">
      <c r="A5" s="10" t="s">
        <v>63</v>
      </c>
      <c r="B5" s="11">
        <v>3375</v>
      </c>
      <c r="D5" s="10" t="s">
        <v>45</v>
      </c>
      <c r="E5" s="12">
        <v>0.35391320138006171</v>
      </c>
      <c r="G5" s="10" t="s">
        <v>423</v>
      </c>
      <c r="H5" s="11">
        <v>7465</v>
      </c>
      <c r="J5" s="10" t="s">
        <v>21</v>
      </c>
      <c r="K5" s="12">
        <v>0.78379032746201804</v>
      </c>
      <c r="M5" s="10" t="s">
        <v>57</v>
      </c>
      <c r="N5" s="12">
        <v>0.34</v>
      </c>
      <c r="P5" s="10" t="s">
        <v>65</v>
      </c>
      <c r="Q5" s="13">
        <v>13</v>
      </c>
    </row>
    <row r="6" spans="1:17" x14ac:dyDescent="0.25">
      <c r="A6" s="10" t="s">
        <v>55</v>
      </c>
      <c r="B6" s="11">
        <v>9500</v>
      </c>
      <c r="D6" s="10" t="s">
        <v>30</v>
      </c>
      <c r="E6" s="12">
        <v>0.20537497730161614</v>
      </c>
      <c r="G6" s="10" t="s">
        <v>424</v>
      </c>
      <c r="H6" s="11">
        <v>7155</v>
      </c>
      <c r="J6" s="10" t="s">
        <v>419</v>
      </c>
      <c r="K6" s="12">
        <v>1</v>
      </c>
      <c r="M6" s="10" t="s">
        <v>28</v>
      </c>
      <c r="N6" s="12">
        <v>0.4</v>
      </c>
      <c r="P6" s="10" t="s">
        <v>25</v>
      </c>
      <c r="Q6" s="13">
        <v>23</v>
      </c>
    </row>
    <row r="7" spans="1:17" x14ac:dyDescent="0.25">
      <c r="A7" s="10" t="s">
        <v>16</v>
      </c>
      <c r="B7" s="11">
        <v>13445</v>
      </c>
      <c r="D7" s="10" t="s">
        <v>419</v>
      </c>
      <c r="E7" s="12">
        <v>1</v>
      </c>
      <c r="G7" s="10" t="s">
        <v>425</v>
      </c>
      <c r="H7" s="11">
        <v>7220</v>
      </c>
      <c r="M7" s="10" t="s">
        <v>419</v>
      </c>
      <c r="N7" s="12">
        <v>1</v>
      </c>
      <c r="P7" s="10" t="s">
        <v>53</v>
      </c>
      <c r="Q7" s="13">
        <v>4</v>
      </c>
    </row>
    <row r="8" spans="1:17" x14ac:dyDescent="0.25">
      <c r="A8" s="10" t="s">
        <v>65</v>
      </c>
      <c r="B8" s="11">
        <v>14520</v>
      </c>
      <c r="G8" s="10" t="s">
        <v>426</v>
      </c>
      <c r="H8" s="11">
        <v>9245</v>
      </c>
      <c r="P8" s="10" t="s">
        <v>63</v>
      </c>
      <c r="Q8" s="13">
        <v>2</v>
      </c>
    </row>
    <row r="9" spans="1:17" x14ac:dyDescent="0.25">
      <c r="A9" s="10" t="s">
        <v>33</v>
      </c>
      <c r="B9" s="11">
        <v>19225</v>
      </c>
      <c r="G9" s="10" t="s">
        <v>427</v>
      </c>
      <c r="H9" s="11">
        <v>7520</v>
      </c>
      <c r="P9" s="10" t="s">
        <v>55</v>
      </c>
      <c r="Q9" s="13">
        <v>13</v>
      </c>
    </row>
    <row r="10" spans="1:17" x14ac:dyDescent="0.25">
      <c r="A10" s="10" t="s">
        <v>25</v>
      </c>
      <c r="B10" s="11">
        <v>19865</v>
      </c>
      <c r="G10" s="10" t="s">
        <v>428</v>
      </c>
      <c r="H10" s="11">
        <v>6860</v>
      </c>
      <c r="P10" s="10" t="s">
        <v>16</v>
      </c>
      <c r="Q10" s="13">
        <v>20</v>
      </c>
    </row>
    <row r="11" spans="1:17" x14ac:dyDescent="0.25">
      <c r="A11" s="10" t="s">
        <v>419</v>
      </c>
      <c r="B11" s="11">
        <v>82605</v>
      </c>
      <c r="G11" s="10" t="s">
        <v>429</v>
      </c>
      <c r="H11" s="11">
        <v>9140</v>
      </c>
      <c r="P11" s="10" t="s">
        <v>419</v>
      </c>
      <c r="Q11" s="13">
        <v>100</v>
      </c>
    </row>
    <row r="12" spans="1:17" x14ac:dyDescent="0.25">
      <c r="G12" s="10" t="s">
        <v>430</v>
      </c>
      <c r="H12" s="11">
        <v>5625</v>
      </c>
    </row>
    <row r="13" spans="1:17" x14ac:dyDescent="0.25">
      <c r="G13" s="10" t="s">
        <v>431</v>
      </c>
      <c r="H13" s="11">
        <v>3450</v>
      </c>
    </row>
    <row r="14" spans="1:17" x14ac:dyDescent="0.25">
      <c r="G14" s="10" t="s">
        <v>432</v>
      </c>
      <c r="H14" s="11">
        <v>7805</v>
      </c>
    </row>
    <row r="15" spans="1:17" x14ac:dyDescent="0.25">
      <c r="G15" s="10" t="s">
        <v>433</v>
      </c>
      <c r="H15" s="11">
        <v>8325</v>
      </c>
    </row>
    <row r="16" spans="1:17" x14ac:dyDescent="0.25">
      <c r="G16" s="10" t="s">
        <v>419</v>
      </c>
      <c r="H16" s="11">
        <v>82605</v>
      </c>
    </row>
  </sheetData>
  <pageMargins left="0.7" right="0.7" top="0.75" bottom="0.75" header="0.3" footer="0.3"/>
  <pageSetup orientation="portrait" horizontalDpi="360" verticalDpi="36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AC3D-ED4C-4B84-84D2-2AAF3BA53720}">
  <dimension ref="A1"/>
  <sheetViews>
    <sheetView showGridLines="0" showRowColHeaders="0" tabSelected="1" zoomScale="85" zoomScaleNormal="85" zoomScaleSheetLayoutView="100" workbookViewId="0">
      <selection activeCell="AA23" sqref="AA23"/>
    </sheetView>
  </sheetViews>
  <sheetFormatPr baseColWidth="10" defaultRowHeight="12.5" x14ac:dyDescent="0.25"/>
  <sheetData/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CURSOS</vt:lpstr>
      <vt:lpstr>Analisis</vt:lpstr>
      <vt:lpstr>Dashboard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Jared Aldebaran López Rebelo</cp:lastModifiedBy>
  <cp:revision/>
  <dcterms:created xsi:type="dcterms:W3CDTF">2021-11-02T17:30:04Z</dcterms:created>
  <dcterms:modified xsi:type="dcterms:W3CDTF">2026-04-05T23:42:04Z</dcterms:modified>
  <cp:category/>
  <cp:contentStatus/>
</cp:coreProperties>
</file>